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T - Proyecto Web" state="visible" r:id="rId4"/>
  </sheets>
  <calcPr calcId="171027"/>
</workbook>
</file>

<file path=xl/sharedStrings.xml><?xml version="1.0" encoding="utf-8"?>
<sst xmlns="http://schemas.openxmlformats.org/spreadsheetml/2006/main" count="111" uniqueCount="101">
  <si>
    <t>ACTIVIDAD 1.6: EJERCICIOS DIAGRAMA DE PERT Y RUTA CRÍTICA</t>
  </si>
  <si>
    <t>Problema 1: Desarrollo de una Aplicación Web | Gestión de Proyectos de Software</t>
  </si>
  <si>
    <t>Fecha de Inicio del Proyecto:</t>
  </si>
  <si>
    <t>17 de agosto de 2026</t>
  </si>
  <si>
    <t>Fórmula Tiempo Esperado (Te):</t>
  </si>
  <si>
    <t>Te = (To + 4*Tm + Tp) / 6</t>
  </si>
  <si>
    <t>Régimen Laboral:</t>
  </si>
  <si>
    <t>Semana Inglesa (5 días hábiles/sem)</t>
  </si>
  <si>
    <t>Fórmula Varianza (σ²):</t>
  </si>
  <si>
    <t>σ² = ((Tp - To) / 6)²</t>
  </si>
  <si>
    <t>Días por Semana:</t>
  </si>
  <si>
    <t>Fórmula Holgura (H):</t>
  </si>
  <si>
    <t>H = LS - ES = LF - EF</t>
  </si>
  <si>
    <t>ID</t>
  </si>
  <si>
    <t>Actividad</t>
  </si>
  <si>
    <t>Predec.</t>
  </si>
  <si>
    <t>To (sem)</t>
  </si>
  <si>
    <t>Tm (sem)</t>
  </si>
  <si>
    <t>Tp (sem)</t>
  </si>
  <si>
    <t>Te (sem)</t>
  </si>
  <si>
    <t>Te (días)</t>
  </si>
  <si>
    <t>Varianza σ²</t>
  </si>
  <si>
    <t>Desv. σ</t>
  </si>
  <si>
    <t>ES (días)</t>
  </si>
  <si>
    <t>EF (días)</t>
  </si>
  <si>
    <t>LS (días)</t>
  </si>
  <si>
    <t>LF (días)</t>
  </si>
  <si>
    <t>Holgura H</t>
  </si>
  <si>
    <t>¿Ruta Crítica?</t>
  </si>
  <si>
    <t>Fecha Inicio</t>
  </si>
  <si>
    <t>Fecha Fin</t>
  </si>
  <si>
    <t>A</t>
  </si>
  <si>
    <t>Planificación</t>
  </si>
  <si>
    <t>—</t>
  </si>
  <si>
    <t>B</t>
  </si>
  <si>
    <t>Diseño de la interfaz</t>
  </si>
  <si>
    <t>C</t>
  </si>
  <si>
    <t>Desarrollo del backend</t>
  </si>
  <si>
    <t>D</t>
  </si>
  <si>
    <t>Pruebas</t>
  </si>
  <si>
    <t>B, C</t>
  </si>
  <si>
    <t>E</t>
  </si>
  <si>
    <t>Despliegue</t>
  </si>
  <si>
    <t>TOTAL RUTA CRÍTICA (A - C - D - E):</t>
  </si>
  <si>
    <t>COMPARACIÓN DE TRAYECTORIAS / RUTAS</t>
  </si>
  <si>
    <t>CONCLUSIONES Y RESULTADOS EJECUTIVOS</t>
  </si>
  <si>
    <t>Ruta</t>
  </si>
  <si>
    <t>Secuencia de Actividades</t>
  </si>
  <si>
    <t>Duración (sem)</t>
  </si>
  <si>
    <t>Duración (días hábiles)</t>
  </si>
  <si>
    <t>Holgura Total</t>
  </si>
  <si>
    <t>Estado</t>
  </si>
  <si>
    <t>Duración Total Estimada del Proyecto:</t>
  </si>
  <si>
    <t>Ruta 1</t>
  </si>
  <si>
    <t>A → B → D → E</t>
  </si>
  <si>
    <t>No Crítica (Holgura = 5 días / 1 sem)</t>
  </si>
  <si>
    <t>Ruta Crítica Identificada:</t>
  </si>
  <si>
    <t>Ruta 2 (CRÍTICA)</t>
  </si>
  <si>
    <t>A → C → D → E</t>
  </si>
  <si>
    <t>★ RUTA CRÍTICA (Mayor Duración)</t>
  </si>
  <si>
    <t>Actividad con Holgura Libre / Total:</t>
  </si>
  <si>
    <t>Fecha de Inicio de Actividades:</t>
  </si>
  <si>
    <t>Fecha de Término / Entrega del Proyecto:</t>
  </si>
  <si>
    <t>Varianza y Desviación Estándar Total:</t>
  </si>
  <si>
    <t>REPRESENTACIÓN DEL DIAGRAMA DE RED PERT (ACTIVIDAD EN EL NODO / AON)</t>
  </si>
  <si>
    <t>Estructura de cada bloque: [ ES | Te | EF ]  arriba  /  [ Nombre Actividad (Holgura) ]  centro  /  [ LS | H | LF ]  abajo</t>
  </si>
  <si>
    <t>ES: 7.5</t>
  </si>
  <si>
    <t>Te: 10d</t>
  </si>
  <si>
    <t>EF: 17.5</t>
  </si>
  <si>
    <t>↗ (Rama Sup)</t>
  </si>
  <si>
    <t>[B] Diseño Interfaz</t>
  </si>
  <si>
    <t>↘ (Holgura: 5d)</t>
  </si>
  <si>
    <t>LS: 12.5</t>
  </si>
  <si>
    <t>H: 5d</t>
  </si>
  <si>
    <t>LF: 22.5</t>
  </si>
  <si>
    <t>ES: 0</t>
  </si>
  <si>
    <t>Te: 7.5d</t>
  </si>
  <si>
    <t>EF: 7.5</t>
  </si>
  <si>
    <t>ES: 22.5</t>
  </si>
  <si>
    <t>EF: 30</t>
  </si>
  <si>
    <t>ES: 30</t>
  </si>
  <si>
    <t>Te: 5d</t>
  </si>
  <si>
    <t>EF: 35</t>
  </si>
  <si>
    <t>[A] Planificación</t>
  </si>
  <si>
    <t>Te: 15d</t>
  </si>
  <si>
    <t>EF: 22.5</t>
  </si>
  <si>
    <t>[D] Pruebas</t>
  </si>
  <si>
    <t>═════►</t>
  </si>
  <si>
    <t>[E] Despliegue</t>
  </si>
  <si>
    <t>LS: 0</t>
  </si>
  <si>
    <t>H: 0d</t>
  </si>
  <si>
    <t>LF: 7.5</t>
  </si>
  <si>
    <t>═════► (Crítica)</t>
  </si>
  <si>
    <t>[C] Desarrollo Backend</t>
  </si>
  <si>
    <t>LS: 22.5</t>
  </si>
  <si>
    <t>LF: 30</t>
  </si>
  <si>
    <t>LS: 30</t>
  </si>
  <si>
    <t>LF: 35</t>
  </si>
  <si>
    <t>LS: 7.5</t>
  </si>
  <si>
    <t>■ Rojo: Actividades de Ruta Crítica (Holgura = 0)</t>
  </si>
  <si>
    <t>■ Azul: Actividades No Críticas (Con holgura admisible)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</si>
</sst>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0.0000"/>
    <numFmt numFmtId="166" formatCode="DD/MM/YYYY"/>
    <numFmt numFmtId="167" formatCode="0.00 &quot;sem&quot;"/>
    <numFmt numFmtId="168" formatCode="0.0 &quot;días&quot;"/>
  </numFmts>
  <fonts count="31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E2E8F0"/>
      <sz val="11"/>
      <name val="Calibri"/>
    </font>
    <font>
      <b/>
      <color rgb="1E293B"/>
      <sz val="10"/>
    </font>
    <font>
      <sz val="10"/>
    </font>
    <font>
      <i/>
      <color rgb="2563EB"/>
      <sz val="10"/>
    </font>
    <font>
      <b/>
      <color rgb="FFFFFF"/>
      <sz val="10"/>
      <name val="Calibri"/>
    </font>
    <font>
      <b/>
      <color rgb="B91C1C"/>
    </font>
    <font>
      <sz val="10"/>
      <name val="Calibri"/>
    </font>
    <font>
      <color rgb="64748B"/>
    </font>
    <font>
      <b/>
      <color rgb="B91C1C"/>
      <sz val="10"/>
    </font>
    <font>
      <b/>
      <sz val="10"/>
    </font>
    <font>
      <b/>
      <color rgb="FFFFFF"/>
      <sz val="11"/>
    </font>
    <font>
      <b/>
      <color rgb="FFFFFF"/>
      <sz val="10"/>
    </font>
    <font>
      <b/>
      <sz val="9.5"/>
    </font>
    <font>
      <b/>
      <color rgb="1E3A8A"/>
      <sz val="9.5"/>
    </font>
    <font>
      <i/>
      <color rgb="64748B"/>
    </font>
    <font>
      <b/>
    </font>
    <font>
      <color rgb="334155"/>
      <sz val="9.5"/>
    </font>
    <font>
      <i/>
      <color rgb="64748B"/>
      <sz val="9.5"/>
    </font>
    <font>
      <b/>
      <color rgb="FFFFFF"/>
      <sz val="8"/>
    </font>
    <font>
      <b/>
      <color rgb="64748B"/>
      <sz val="9"/>
    </font>
    <font>
      <b/>
      <color rgb="1E293B"/>
      <sz val="9"/>
    </font>
    <font>
      <i/>
      <color rgb="64748B"/>
      <sz val="9"/>
    </font>
    <font>
      <b/>
      <color rgb="1E293B"/>
      <sz val="8"/>
    </font>
    <font>
      <b/>
      <color rgb="991B1B"/>
      <sz val="9"/>
    </font>
    <font>
      <b/>
      <color rgb="DC2626"/>
      <sz val="10"/>
    </font>
    <font>
      <b/>
      <color rgb="991B1B"/>
      <sz val="8"/>
    </font>
    <font>
      <b/>
      <color rgb="DC2626"/>
      <sz val="9"/>
    </font>
    <font>
      <b/>
      <color rgb="DC2626"/>
      <sz val="9.5"/>
    </font>
    <font>
      <b/>
      <color rgb="2563EB"/>
      <sz val="9.5"/>
    </font>
  </fonts>
  <fills count="12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334155"/>
      </patternFill>
    </fill>
    <fill>
      <patternFill patternType="solid">
        <fgColor rgb="F1F5F9"/>
      </patternFill>
    </fill>
    <fill>
      <patternFill patternType="solid">
        <fgColor rgb="EFF6FF"/>
      </patternFill>
    </fill>
    <fill>
      <patternFill patternType="solid">
        <fgColor rgb="2563EB"/>
      </patternFill>
    </fill>
    <fill>
      <patternFill patternType="solid">
        <fgColor rgb="FEE2E2"/>
      </patternFill>
    </fill>
    <fill>
      <patternFill patternType="solid">
        <fgColor rgb="FFFFFF"/>
      </patternFill>
    </fill>
    <fill>
      <patternFill patternType="solid">
        <fgColor auto="1"/>
      </patternFill>
    </fill>
    <fill>
      <patternFill patternType="solid">
        <fgColor rgb="3B82F6"/>
      </patternFill>
    </fill>
    <fill>
      <patternFill patternType="solid">
        <fgColor rgb="DC2626"/>
      </patternFill>
    </fill>
  </fills>
  <borders count="4">
    <border>
      <left/>
      <right/>
      <top/>
      <bottom/>
      <diagonal/>
    </border>
    <border>
      <left style="thin">
        <color rgb="93C5FD"/>
      </left>
      <right style="thin">
        <color rgb="93C5FD"/>
      </right>
      <top style="medium">
        <color rgb="1E3A8A"/>
      </top>
      <bottom style="medium">
        <color rgb="1E3A8A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/>
      <right/>
      <top style="thin">
        <color rgb="1E293B"/>
      </top>
      <bottom style="double">
        <color rgb="1E293B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6" fillId="6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164" fontId="8" fillId="0" borderId="2" xfId="0" applyNumberFormat="1" applyFont="1" applyBorder="1" applyAlignment="1">
      <alignment horizontal="right" vertical="center"/>
    </xf>
    <xf numFmtId="2" fontId="8" fillId="0" borderId="2" xfId="0" applyNumberFormat="1" applyFont="1" applyBorder="1" applyAlignment="1">
      <alignment horizontal="right" vertical="center"/>
    </xf>
    <xf numFmtId="165" fontId="8" fillId="0" borderId="2" xfId="0" applyNumberFormat="1" applyFont="1" applyBorder="1" applyAlignment="1">
      <alignment horizontal="right" vertical="center"/>
    </xf>
    <xf numFmtId="0" fontId="7" fillId="7" borderId="2" xfId="0" applyFont="1" applyFill="1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4" borderId="3" xfId="0" applyFill="1" applyBorder="1"/>
    <xf numFmtId="0" fontId="3" fillId="4" borderId="3" xfId="0" applyFont="1" applyFill="1" applyBorder="1" applyAlignment="1">
      <alignment horizontal="right" vertical="center"/>
    </xf>
    <xf numFmtId="167" fontId="3" fillId="4" borderId="3" xfId="0" applyNumberFormat="1" applyFont="1" applyFill="1" applyBorder="1" applyAlignment="1">
      <alignment horizontal="right"/>
    </xf>
    <xf numFmtId="168" fontId="10" fillId="4" borderId="3" xfId="0" applyNumberFormat="1" applyFont="1" applyFill="1" applyBorder="1" applyAlignment="1">
      <alignment horizontal="right"/>
    </xf>
    <xf numFmtId="165" fontId="11" fillId="4" borderId="3" xfId="0" applyNumberFormat="1" applyFont="1" applyFill="1" applyBorder="1" applyAlignment="1">
      <alignment horizontal="right"/>
    </xf>
    <xf numFmtId="166" fontId="11" fillId="4" borderId="3" xfId="0" applyNumberFormat="1" applyFont="1" applyFill="1" applyBorder="1" applyAlignment="1">
      <alignment horizontal="center"/>
    </xf>
    <xf numFmtId="166" fontId="10" fillId="4" borderId="3" xfId="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4" fillId="0" borderId="2" xfId="0" applyFont="1" applyBorder="1"/>
    <xf numFmtId="0" fontId="15" fillId="5" borderId="2" xfId="0" applyFont="1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167" fontId="0" fillId="0" borderId="2" xfId="0" applyNumberFormat="1" applyBorder="1" applyAlignment="1">
      <alignment horizontal="right"/>
    </xf>
    <xf numFmtId="168" fontId="0" fillId="0" borderId="2" xfId="0" applyNumberFormat="1" applyBorder="1" applyAlignment="1">
      <alignment horizontal="right"/>
    </xf>
    <xf numFmtId="0" fontId="16" fillId="0" borderId="2" xfId="0" applyFont="1" applyBorder="1"/>
    <xf numFmtId="0" fontId="7" fillId="7" borderId="2" xfId="0" applyFont="1" applyFill="1" applyBorder="1" applyAlignment="1">
      <alignment horizontal="center"/>
    </xf>
    <xf numFmtId="0" fontId="17" fillId="7" borderId="2" xfId="0" applyFont="1" applyFill="1" applyBorder="1"/>
    <xf numFmtId="167" fontId="17" fillId="7" borderId="2" xfId="0" applyNumberFormat="1" applyFont="1" applyFill="1" applyBorder="1" applyAlignment="1">
      <alignment horizontal="right"/>
    </xf>
    <xf numFmtId="168" fontId="7" fillId="7" borderId="2" xfId="0" applyNumberFormat="1" applyFont="1" applyFill="1" applyBorder="1" applyAlignment="1">
      <alignment horizontal="right"/>
    </xf>
    <xf numFmtId="168" fontId="17" fillId="7" borderId="2" xfId="0" applyNumberFormat="1" applyFont="1" applyFill="1" applyBorder="1" applyAlignment="1">
      <alignment horizontal="right"/>
    </xf>
    <xf numFmtId="0" fontId="7" fillId="7" borderId="2" xfId="0" applyFont="1" applyFill="1" applyBorder="1"/>
    <xf numFmtId="0" fontId="18" fillId="8" borderId="2" xfId="0" applyFont="1" applyFill="1" applyBorder="1"/>
    <xf numFmtId="0" fontId="12" fillId="9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10" borderId="2" xfId="0" applyFont="1" applyFill="1" applyBorder="1" applyAlignment="1">
      <alignment horizontal="center"/>
    </xf>
    <xf numFmtId="0" fontId="21" fillId="0" borderId="0" xfId="0" applyFont="1"/>
    <xf numFmtId="0" fontId="22" fillId="4" borderId="2" xfId="0" applyFont="1" applyFill="1" applyBorder="1" applyAlignment="1">
      <alignment horizontal="center" vertical="center"/>
    </xf>
    <xf numFmtId="0" fontId="23" fillId="0" borderId="0" xfId="0" applyFont="1"/>
    <xf numFmtId="0" fontId="24" fillId="4" borderId="2" xfId="0" applyFont="1" applyFill="1" applyBorder="1" applyAlignment="1">
      <alignment horizontal="center"/>
    </xf>
    <xf numFmtId="0" fontId="20" fillId="11" borderId="2" xfId="0" applyFont="1" applyFill="1" applyBorder="1" applyAlignment="1">
      <alignment horizontal="center"/>
    </xf>
    <xf numFmtId="0" fontId="25" fillId="7" borderId="2" xfId="0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7" fillId="7" borderId="2" xfId="0" applyFont="1" applyFill="1" applyBorder="1" applyAlignment="1">
      <alignment horizontal="center"/>
    </xf>
    <xf numFmtId="0" fontId="28" fillId="0" borderId="0" xfId="0" applyFont="1"/>
    <xf numFmtId="0" fontId="29" fillId="0" borderId="0" xfId="0" applyFont="1"/>
    <xf numFmtId="0" fontId="3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37"/>
  <sheetViews>
    <sheetView workbookViewId="0"/>
  </sheetViews>
  <sheetFormatPr defaultRowHeight="15" outlineLevelRow="0" outlineLevelCol="0" x14ac:dyDescent="55"/>
  <cols>
    <col min="1" max="1" width="4" customWidth="1"/>
    <col min="2" max="2" width="8" customWidth="1"/>
    <col min="3" max="3" width="28" customWidth="1"/>
    <col min="4" max="4" width="14" customWidth="1"/>
    <col min="5" max="7" width="12" customWidth="1"/>
    <col min="8" max="11" width="14" customWidth="1"/>
    <col min="12" max="15" width="11" customWidth="1"/>
    <col min="16" max="16" width="12" customWidth="1"/>
    <col min="17" max="17" width="15" customWidth="1"/>
    <col min="18" max="19" width="16" customWidth="1"/>
  </cols>
  <sheetData>
    <row r="2" ht="32" customHeight="1" spans="2:19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20" customHeight="1" spans="2:19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spans="2:10" x14ac:dyDescent="0.25">
      <c r="B5" s="3" t="s">
        <v>2</v>
      </c>
      <c r="C5" s="4" t="s">
        <v>3</v>
      </c>
      <c r="D5" s="4"/>
      <c r="F5" s="3" t="s">
        <v>4</v>
      </c>
      <c r="G5" s="3"/>
      <c r="H5" s="5" t="s">
        <v>5</v>
      </c>
      <c r="I5" s="5"/>
      <c r="J5" s="5"/>
    </row>
    <row r="6" spans="2:10" x14ac:dyDescent="0.25">
      <c r="B6" s="3" t="s">
        <v>6</v>
      </c>
      <c r="C6" s="4" t="s">
        <v>7</v>
      </c>
      <c r="D6" s="4"/>
      <c r="F6" s="3" t="s">
        <v>8</v>
      </c>
      <c r="G6" s="3"/>
      <c r="H6" s="5" t="s">
        <v>9</v>
      </c>
      <c r="I6" s="5"/>
      <c r="J6" s="5"/>
    </row>
    <row r="7" spans="2:10" x14ac:dyDescent="0.25">
      <c r="B7" s="3" t="s">
        <v>10</v>
      </c>
      <c r="C7" s="4">
        <v>5</v>
      </c>
      <c r="D7" s="4"/>
      <c r="F7" s="3" t="s">
        <v>11</v>
      </c>
      <c r="G7" s="3"/>
      <c r="H7" s="5" t="s">
        <v>12</v>
      </c>
      <c r="I7" s="5"/>
      <c r="J7" s="5"/>
    </row>
    <row r="9" ht="28" customHeight="1" spans="2:19" x14ac:dyDescent="0.25"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  <c r="K9" s="6" t="s">
        <v>22</v>
      </c>
      <c r="L9" s="6" t="s">
        <v>23</v>
      </c>
      <c r="M9" s="6" t="s">
        <v>24</v>
      </c>
      <c r="N9" s="6" t="s">
        <v>25</v>
      </c>
      <c r="O9" s="6" t="s">
        <v>26</v>
      </c>
      <c r="P9" s="6" t="s">
        <v>27</v>
      </c>
      <c r="Q9" s="6" t="s">
        <v>28</v>
      </c>
      <c r="R9" s="6" t="s">
        <v>29</v>
      </c>
      <c r="S9" s="6" t="s">
        <v>30</v>
      </c>
    </row>
    <row r="10" ht="22" customHeight="1" spans="2:19" x14ac:dyDescent="0.25">
      <c r="B10" s="7" t="s">
        <v>31</v>
      </c>
      <c r="C10" s="8" t="s">
        <v>32</v>
      </c>
      <c r="D10" s="8" t="s">
        <v>33</v>
      </c>
      <c r="E10" s="9">
        <v>1</v>
      </c>
      <c r="F10" s="9">
        <v>1.5</v>
      </c>
      <c r="G10" s="9">
        <v>2</v>
      </c>
      <c r="H10" s="10">
        <f>ROUND((E10+4*F10+G10)/6, 4)</f>
        <v>1.5</v>
      </c>
      <c r="I10" s="9">
        <f>H10*5</f>
        <v>7.5</v>
      </c>
      <c r="J10" s="11">
        <f>ROUND(((G10-E10)/6)^2, 4)</f>
        <v>0.0278</v>
      </c>
      <c r="K10" s="11">
        <f>ROUND(SQRT(J10), 4)</f>
        <v>0.1667</v>
      </c>
      <c r="L10" s="9">
        <v>0</v>
      </c>
      <c r="M10" s="9">
        <f>L10+I10</f>
        <v>7.5</v>
      </c>
      <c r="N10" s="9">
        <f>O10-I10</f>
        <v>0</v>
      </c>
      <c r="O10" s="9">
        <f>MIN(L11,L12)</f>
        <v>7.5</v>
      </c>
      <c r="P10" s="9">
        <f>N10-L10</f>
        <v>0</v>
      </c>
      <c r="Q10" s="12" t="str">
        <f>IF(P10=0, "SÍ (CRÍTICA)", "NO")</f>
        <v>SÍ (CRÍTICA)</v>
      </c>
      <c r="R10" s="13">
        <f>DATE(2026,8,17)</f>
        <v>46251.25</v>
      </c>
      <c r="S10" s="13">
        <f>WORKDAY($R$10,ROUND(M10,0)-1)</f>
        <v>46260.25</v>
      </c>
    </row>
    <row r="11" ht="22" customHeight="1" spans="2:19" x14ac:dyDescent="0.25">
      <c r="B11" s="8" t="s">
        <v>34</v>
      </c>
      <c r="C11" s="8" t="s">
        <v>35</v>
      </c>
      <c r="D11" s="8" t="s">
        <v>31</v>
      </c>
      <c r="E11" s="9">
        <v>1</v>
      </c>
      <c r="F11" s="9">
        <v>2</v>
      </c>
      <c r="G11" s="9">
        <v>3</v>
      </c>
      <c r="H11" s="10">
        <f>ROUND((E11+4*F11+G11)/6, 4)</f>
        <v>2</v>
      </c>
      <c r="I11" s="9">
        <f>H11*5</f>
        <v>10</v>
      </c>
      <c r="J11" s="11">
        <f>ROUND(((G11-E11)/6)^2, 4)</f>
        <v>0.1111</v>
      </c>
      <c r="K11" s="11">
        <f>ROUND(SQRT(J11), 4)</f>
        <v>0.3333</v>
      </c>
      <c r="L11" s="9">
        <f>M10</f>
        <v>7.5</v>
      </c>
      <c r="M11" s="9">
        <f>L11+I11</f>
        <v>17.5</v>
      </c>
      <c r="N11" s="9">
        <f>O11-I11</f>
        <v>12.5</v>
      </c>
      <c r="O11" s="9">
        <f>L13</f>
        <v>22.5</v>
      </c>
      <c r="P11" s="9">
        <f>N11-L11</f>
        <v>5</v>
      </c>
      <c r="Q11" s="14" t="str">
        <f>IF(P11=0, "SÍ (CRÍTICA)", "NO")</f>
        <v>NO</v>
      </c>
      <c r="R11" s="13">
        <f>WORKDAY(S10,1)</f>
        <v>46261.25</v>
      </c>
      <c r="S11" s="13">
        <f>WORKDAY($R$10,ROUND(M11,0)-1)</f>
        <v>46274.25</v>
      </c>
    </row>
    <row r="12" ht="22" customHeight="1" spans="2:19" x14ac:dyDescent="0.25">
      <c r="B12" s="7" t="s">
        <v>36</v>
      </c>
      <c r="C12" s="8" t="s">
        <v>37</v>
      </c>
      <c r="D12" s="8" t="s">
        <v>31</v>
      </c>
      <c r="E12" s="9">
        <v>2</v>
      </c>
      <c r="F12" s="9">
        <v>3</v>
      </c>
      <c r="G12" s="9">
        <v>4</v>
      </c>
      <c r="H12" s="10">
        <f>ROUND((E12+4*F12+G12)/6, 4)</f>
        <v>3</v>
      </c>
      <c r="I12" s="9">
        <f>H12*5</f>
        <v>15</v>
      </c>
      <c r="J12" s="11">
        <f>ROUND(((G12-E12)/6)^2, 4)</f>
        <v>0.1111</v>
      </c>
      <c r="K12" s="11">
        <f>ROUND(SQRT(J12), 4)</f>
        <v>0.3333</v>
      </c>
      <c r="L12" s="9">
        <f>M10</f>
        <v>7.5</v>
      </c>
      <c r="M12" s="9">
        <f>L12+I12</f>
        <v>22.5</v>
      </c>
      <c r="N12" s="9">
        <f>O12-I12</f>
        <v>7.5</v>
      </c>
      <c r="O12" s="9">
        <f>L13</f>
        <v>22.5</v>
      </c>
      <c r="P12" s="9">
        <f>N12-L12</f>
        <v>0</v>
      </c>
      <c r="Q12" s="12" t="str">
        <f>IF(P12=0, "SÍ (CRÍTICA)", "NO")</f>
        <v>SÍ (CRÍTICA)</v>
      </c>
      <c r="R12" s="13">
        <f>WORKDAY(S10,1)</f>
        <v>46261.25</v>
      </c>
      <c r="S12" s="13">
        <f>WORKDAY($R$10,ROUND(M12,0)-1)</f>
        <v>46281.25</v>
      </c>
    </row>
    <row r="13" ht="22" customHeight="1" spans="2:19" x14ac:dyDescent="0.25">
      <c r="B13" s="7" t="s">
        <v>38</v>
      </c>
      <c r="C13" s="8" t="s">
        <v>39</v>
      </c>
      <c r="D13" s="8" t="s">
        <v>40</v>
      </c>
      <c r="E13" s="9">
        <v>1</v>
      </c>
      <c r="F13" s="9">
        <v>1.5</v>
      </c>
      <c r="G13" s="9">
        <v>2</v>
      </c>
      <c r="H13" s="10">
        <f>ROUND((E13+4*F13+G13)/6, 4)</f>
        <v>1.5</v>
      </c>
      <c r="I13" s="9">
        <f>H13*5</f>
        <v>7.5</v>
      </c>
      <c r="J13" s="11">
        <f>ROUND(((G13-E13)/6)^2, 4)</f>
        <v>0.0278</v>
      </c>
      <c r="K13" s="11">
        <f>ROUND(SQRT(J13), 4)</f>
        <v>0.1667</v>
      </c>
      <c r="L13" s="9">
        <f>MAX(M11,M12)</f>
        <v>22.5</v>
      </c>
      <c r="M13" s="9">
        <f>L13+I13</f>
        <v>30</v>
      </c>
      <c r="N13" s="9">
        <f>O13-I13</f>
        <v>22.5</v>
      </c>
      <c r="O13" s="9">
        <f>L14</f>
        <v>30</v>
      </c>
      <c r="P13" s="9">
        <f>N13-L13</f>
        <v>0</v>
      </c>
      <c r="Q13" s="12" t="str">
        <f>IF(P13=0, "SÍ (CRÍTICA)", "NO")</f>
        <v>SÍ (CRÍTICA)</v>
      </c>
      <c r="R13" s="13">
        <f>WORKDAY(MAX(S11,S12),1)</f>
        <v>46282.25</v>
      </c>
      <c r="S13" s="13">
        <f>WORKDAY($R$10,ROUND(M13,0)-1)</f>
        <v>46290.25</v>
      </c>
    </row>
    <row r="14" ht="22" customHeight="1" spans="2:19" x14ac:dyDescent="0.25">
      <c r="B14" s="7" t="s">
        <v>41</v>
      </c>
      <c r="C14" s="8" t="s">
        <v>42</v>
      </c>
      <c r="D14" s="8" t="s">
        <v>38</v>
      </c>
      <c r="E14" s="9">
        <v>0.5</v>
      </c>
      <c r="F14" s="9">
        <v>1</v>
      </c>
      <c r="G14" s="9">
        <v>1.5</v>
      </c>
      <c r="H14" s="10">
        <f>ROUND((E14+4*F14+G14)/6, 4)</f>
        <v>1</v>
      </c>
      <c r="I14" s="9">
        <f>H14*5</f>
        <v>5</v>
      </c>
      <c r="J14" s="11">
        <f>ROUND(((G14-E14)/6)^2, 4)</f>
        <v>0.0278</v>
      </c>
      <c r="K14" s="11">
        <f>ROUND(SQRT(J14), 4)</f>
        <v>0.1667</v>
      </c>
      <c r="L14" s="9">
        <f>M13</f>
        <v>30</v>
      </c>
      <c r="M14" s="9">
        <f>L14+I14</f>
        <v>35</v>
      </c>
      <c r="N14" s="9">
        <f>O14-I14</f>
        <v>30</v>
      </c>
      <c r="O14" s="9">
        <f>M14</f>
        <v>35</v>
      </c>
      <c r="P14" s="9">
        <f>N14-L14</f>
        <v>0</v>
      </c>
      <c r="Q14" s="12" t="str">
        <f>IF(P14=0, "SÍ (CRÍTICA)", "NO")</f>
        <v>SÍ (CRÍTICA)</v>
      </c>
      <c r="R14" s="13">
        <f>WORKDAY(S13,1)</f>
        <v>46293.25</v>
      </c>
      <c r="S14" s="13">
        <f>WORKDAY($R$10,ROUND(M14,0)-1)</f>
        <v>46297.25</v>
      </c>
    </row>
    <row r="15" ht="24" customHeight="1" spans="2:19" x14ac:dyDescent="0.25">
      <c r="B15" s="15"/>
      <c r="C15" s="16" t="s">
        <v>43</v>
      </c>
      <c r="D15" s="15"/>
      <c r="E15" s="15"/>
      <c r="F15" s="15"/>
      <c r="G15" s="15"/>
      <c r="H15" s="17">
        <f>H10+H12+H13+H14</f>
        <v>7</v>
      </c>
      <c r="I15" s="18">
        <f>I10+I12+I13+I14</f>
        <v>35</v>
      </c>
      <c r="J15" s="19">
        <f>J10+J12+J13+J14</f>
        <v>0.1945</v>
      </c>
      <c r="K15" s="19">
        <f>ROUND(SQRT(J15), 4)</f>
        <v>0.441</v>
      </c>
      <c r="L15" s="15"/>
      <c r="M15" s="15"/>
      <c r="N15" s="15"/>
      <c r="O15" s="15"/>
      <c r="P15" s="15"/>
      <c r="Q15" s="15"/>
      <c r="R15" s="20">
        <f>R10</f>
        <v>46251.25</v>
      </c>
      <c r="S15" s="21">
        <f>S14</f>
        <v>46297.25</v>
      </c>
    </row>
    <row r="18" ht="24" customHeight="1" spans="2:19" x14ac:dyDescent="0.25">
      <c r="B18" s="22" t="s">
        <v>44</v>
      </c>
      <c r="C18" s="22"/>
      <c r="D18" s="22"/>
      <c r="E18" s="22"/>
      <c r="F18" s="22"/>
      <c r="G18" s="22"/>
      <c r="I18" s="22" t="s">
        <v>45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ht="20" customHeight="1" spans="2:19" x14ac:dyDescent="0.25">
      <c r="B19" s="23" t="s">
        <v>46</v>
      </c>
      <c r="C19" s="23" t="s">
        <v>47</v>
      </c>
      <c r="D19" s="23" t="s">
        <v>48</v>
      </c>
      <c r="E19" s="23" t="s">
        <v>49</v>
      </c>
      <c r="F19" s="23" t="s">
        <v>50</v>
      </c>
      <c r="G19" s="23" t="s">
        <v>51</v>
      </c>
      <c r="I19" s="24" t="s">
        <v>52</v>
      </c>
      <c r="J19" s="24"/>
      <c r="K19" s="24"/>
      <c r="L19" s="24"/>
      <c r="M19" s="25" t="str">
        <f>="7.00 semanas (" &amp; TEXT(I15, "0.0") &amp; " días hábiles de trabajo)"</f>
        <v>7.00 semanas (35.0 días hábiles de trabajo)</v>
      </c>
      <c r="N19" s="25"/>
      <c r="O19" s="25"/>
      <c r="P19" s="25"/>
      <c r="Q19" s="25"/>
      <c r="R19" s="25"/>
      <c r="S19" s="25"/>
    </row>
    <row r="20" ht="20" customHeight="1" spans="2:19" x14ac:dyDescent="0.25">
      <c r="B20" s="26" t="s">
        <v>53</v>
      </c>
      <c r="C20" s="27" t="s">
        <v>54</v>
      </c>
      <c r="D20" s="28">
        <f>H10+H11+H13+H14</f>
        <v>6</v>
      </c>
      <c r="E20" s="29">
        <f>I10+I11+I13+I14</f>
        <v>30</v>
      </c>
      <c r="F20" s="29">
        <f>E21-E20</f>
        <v>5</v>
      </c>
      <c r="G20" s="30" t="s">
        <v>55</v>
      </c>
      <c r="I20" s="24" t="s">
        <v>56</v>
      </c>
      <c r="J20" s="24"/>
      <c r="K20" s="24"/>
      <c r="L20" s="24"/>
      <c r="M20" s="25" t="str">
        <f>="A → C → D → E (Cualquier retraso en estas pospone la entrega)"</f>
        <v>A → C → D → E (Cualquier retraso en estas pospone la entrega)</v>
      </c>
      <c r="N20" s="25"/>
      <c r="O20" s="25"/>
      <c r="P20" s="25"/>
      <c r="Q20" s="25"/>
      <c r="R20" s="25"/>
      <c r="S20" s="25"/>
    </row>
    <row r="21" ht="20" customHeight="1" spans="2:19" x14ac:dyDescent="0.25">
      <c r="B21" s="31" t="s">
        <v>57</v>
      </c>
      <c r="C21" s="32" t="s">
        <v>58</v>
      </c>
      <c r="D21" s="33">
        <f>H10+H12+H13+H14</f>
        <v>7</v>
      </c>
      <c r="E21" s="34">
        <f>I10+I12+I13+I14</f>
        <v>35</v>
      </c>
      <c r="F21" s="35">
        <v>0</v>
      </c>
      <c r="G21" s="36" t="s">
        <v>59</v>
      </c>
      <c r="I21" s="24" t="s">
        <v>60</v>
      </c>
      <c r="J21" s="24"/>
      <c r="K21" s="24"/>
      <c r="L21" s="24"/>
      <c r="M21" s="37" t="str">
        <f>="B (Diseño de interfaz) tiene " &amp; TEXT(P11/5, "0.0") &amp; " sem (" &amp; TEXT(P11, "0.0") &amp; " días) de holgura"</f>
        <v>B (Diseño de interfaz) tiene 1.0 sem (5.0 días) de holgura</v>
      </c>
      <c r="N21" s="37"/>
      <c r="O21" s="37"/>
      <c r="P21" s="37"/>
      <c r="Q21" s="37"/>
      <c r="R21" s="37"/>
      <c r="S21" s="37"/>
    </row>
    <row r="22" ht="20" customHeight="1" spans="9:19" x14ac:dyDescent="0.25">
      <c r="I22" s="24" t="s">
        <v>61</v>
      </c>
      <c r="J22" s="24"/>
      <c r="K22" s="24"/>
      <c r="L22" s="24"/>
      <c r="M22" s="37" t="str">
        <f>=PROPER(TEXT(R10, "dddd")) &amp; " " &amp; TEXT(R10, "DD/MM/YYYY") &amp; " (17 de agosto de 2026)"</f>
        <v>Lunes 17/08/2026 (17 de agosto de 2026)</v>
      </c>
      <c r="N22" s="37"/>
      <c r="O22" s="37"/>
      <c r="P22" s="37"/>
      <c r="Q22" s="37"/>
      <c r="R22" s="37"/>
      <c r="S22" s="37"/>
    </row>
    <row r="23" ht="20" customHeight="1" spans="9:19" x14ac:dyDescent="0.25">
      <c r="I23" s="24" t="s">
        <v>62</v>
      </c>
      <c r="J23" s="24"/>
      <c r="K23" s="24"/>
      <c r="L23" s="24"/>
      <c r="M23" s="25" t="str">
        <f>=PROPER(TEXT(S14, "dddd")) &amp; " " &amp; TEXT(S14, "DD/MM/YYYY") &amp; " (Semana inglesa de 5 días hábiles)"</f>
        <v>Viernes 02/10/2026 (Semana inglesa de 5 días hábiles)</v>
      </c>
      <c r="N23" s="25"/>
      <c r="O23" s="25"/>
      <c r="P23" s="25"/>
      <c r="Q23" s="25"/>
      <c r="R23" s="25"/>
      <c r="S23" s="25"/>
    </row>
    <row r="24" ht="20" customHeight="1" spans="9:19" x14ac:dyDescent="0.25">
      <c r="I24" s="24" t="s">
        <v>63</v>
      </c>
      <c r="J24" s="24"/>
      <c r="K24" s="24"/>
      <c r="L24" s="24"/>
      <c r="M24" s="25" t="str">
        <f>="σ² = " &amp; TEXT(J15, "0.0000") &amp; " semanas² | σ = " &amp; TEXT(K15, "0.0000") &amp; " semanas (" &amp; TEXT(K15*5, "0.00") &amp; " días hábiles)"</f>
        <v>σ² = 0.1945 semanas² | σ = 0.4410 semanas (2.20 días hábiles)</v>
      </c>
      <c r="N24" s="25"/>
      <c r="O24" s="25"/>
      <c r="P24" s="25"/>
      <c r="Q24" s="25"/>
      <c r="R24" s="25"/>
      <c r="S24" s="25"/>
    </row>
    <row r="26" ht="24" customHeight="1" spans="2:19" x14ac:dyDescent="0.25">
      <c r="B26" s="38" t="s">
        <v>64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</row>
    <row r="27" ht="18" customHeight="1" spans="2:19" x14ac:dyDescent="0.25">
      <c r="B27" s="39" t="s">
        <v>65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</row>
    <row r="29" spans="6:8" x14ac:dyDescent="0.25">
      <c r="F29" s="40" t="s">
        <v>66</v>
      </c>
      <c r="G29" s="40" t="s">
        <v>67</v>
      </c>
      <c r="H29" s="40" t="s">
        <v>68</v>
      </c>
    </row>
    <row r="30" spans="5:9" x14ac:dyDescent="0.25">
      <c r="E30" s="41" t="s">
        <v>69</v>
      </c>
      <c r="F30" s="42" t="s">
        <v>70</v>
      </c>
      <c r="G30" s="42"/>
      <c r="H30" s="42"/>
      <c r="I30" s="43" t="s">
        <v>71</v>
      </c>
    </row>
    <row r="31" spans="6:8" x14ac:dyDescent="0.25">
      <c r="F31" s="44" t="s">
        <v>72</v>
      </c>
      <c r="G31" s="44" t="s">
        <v>73</v>
      </c>
      <c r="H31" s="44" t="s">
        <v>74</v>
      </c>
    </row>
    <row r="32" spans="2:16" x14ac:dyDescent="0.25">
      <c r="B32" s="45" t="s">
        <v>75</v>
      </c>
      <c r="C32" s="45" t="s">
        <v>76</v>
      </c>
      <c r="D32" s="45" t="s">
        <v>77</v>
      </c>
      <c r="J32" s="45" t="s">
        <v>78</v>
      </c>
      <c r="K32" s="45" t="s">
        <v>76</v>
      </c>
      <c r="L32" s="45" t="s">
        <v>79</v>
      </c>
      <c r="N32" s="45" t="s">
        <v>80</v>
      </c>
      <c r="O32" s="45" t="s">
        <v>81</v>
      </c>
      <c r="P32" s="45" t="s">
        <v>82</v>
      </c>
    </row>
    <row r="33" spans="2:16" x14ac:dyDescent="0.25">
      <c r="B33" s="46" t="s">
        <v>83</v>
      </c>
      <c r="C33" s="46"/>
      <c r="D33" s="46"/>
      <c r="F33" s="45" t="s">
        <v>66</v>
      </c>
      <c r="G33" s="45" t="s">
        <v>84</v>
      </c>
      <c r="H33" s="45" t="s">
        <v>85</v>
      </c>
      <c r="J33" s="46" t="s">
        <v>86</v>
      </c>
      <c r="K33" s="46"/>
      <c r="L33" s="46"/>
      <c r="M33" s="47" t="s">
        <v>87</v>
      </c>
      <c r="N33" s="46" t="s">
        <v>88</v>
      </c>
      <c r="O33" s="46"/>
      <c r="P33" s="46"/>
    </row>
    <row r="34" spans="2:16" x14ac:dyDescent="0.25">
      <c r="B34" s="48" t="s">
        <v>89</v>
      </c>
      <c r="C34" s="48" t="s">
        <v>90</v>
      </c>
      <c r="D34" s="48" t="s">
        <v>91</v>
      </c>
      <c r="E34" s="49" t="s">
        <v>92</v>
      </c>
      <c r="F34" s="46" t="s">
        <v>93</v>
      </c>
      <c r="G34" s="46"/>
      <c r="H34" s="46"/>
      <c r="I34" s="49" t="s">
        <v>92</v>
      </c>
      <c r="J34" s="48" t="s">
        <v>94</v>
      </c>
      <c r="K34" s="48" t="s">
        <v>90</v>
      </c>
      <c r="L34" s="48" t="s">
        <v>95</v>
      </c>
      <c r="N34" s="48" t="s">
        <v>96</v>
      </c>
      <c r="O34" s="48" t="s">
        <v>90</v>
      </c>
      <c r="P34" s="48" t="s">
        <v>97</v>
      </c>
    </row>
    <row r="35" spans="6:8" x14ac:dyDescent="0.25">
      <c r="F35" s="48" t="s">
        <v>98</v>
      </c>
      <c r="G35" s="48" t="s">
        <v>90</v>
      </c>
      <c r="H35" s="48" t="s">
        <v>74</v>
      </c>
    </row>
    <row r="37" spans="2:12" x14ac:dyDescent="0.25">
      <c r="B37" s="50" t="s">
        <v>99</v>
      </c>
      <c r="C37" s="50"/>
      <c r="D37" s="50"/>
      <c r="E37" s="50"/>
      <c r="F37" s="50"/>
      <c r="G37" s="51" t="s">
        <v>100</v>
      </c>
      <c r="H37" s="51"/>
      <c r="I37" s="51"/>
      <c r="J37" s="51"/>
      <c r="K37" s="51"/>
      <c r="L37" s="51"/>
    </row>
  </sheetData>
  <mergeCells count="34">
    <mergeCell ref="B2:S2"/>
    <mergeCell ref="B3:S3"/>
    <mergeCell ref="C5:D5"/>
    <mergeCell ref="F5:G5"/>
    <mergeCell ref="H5:J5"/>
    <mergeCell ref="C6:D6"/>
    <mergeCell ref="F6:G6"/>
    <mergeCell ref="H6:J6"/>
    <mergeCell ref="C7:D7"/>
    <mergeCell ref="F7:G7"/>
    <mergeCell ref="H7:J7"/>
    <mergeCell ref="B18:G18"/>
    <mergeCell ref="I18:S18"/>
    <mergeCell ref="I19:L19"/>
    <mergeCell ref="M19:S19"/>
    <mergeCell ref="I20:L20"/>
    <mergeCell ref="M20:S20"/>
    <mergeCell ref="I21:L21"/>
    <mergeCell ref="M21:S21"/>
    <mergeCell ref="I22:L22"/>
    <mergeCell ref="M22:S22"/>
    <mergeCell ref="I23:L23"/>
    <mergeCell ref="M23:S23"/>
    <mergeCell ref="I24:L24"/>
    <mergeCell ref="M24:S24"/>
    <mergeCell ref="B26:S26"/>
    <mergeCell ref="B27:S27"/>
    <mergeCell ref="F30:H30"/>
    <mergeCell ref="B33:D33"/>
    <mergeCell ref="J33:L33"/>
    <mergeCell ref="N33:P33"/>
    <mergeCell ref="F34:H34"/>
    <mergeCell ref="B37:F37"/>
    <mergeCell ref="G37:L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PERT - Proyecto Web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Navarro Salcedo - Alumno</dc:creator>
  <dc:title/>
  <dc:subject/>
  <dc:description/>
  <cp:keywords/>
  <cp:category/>
  <cp:lastModifiedBy>Unknown</cp:lastModifiedBy>
  <dcterms:created xsi:type="dcterms:W3CDTF">2026-09-27T02:54:45Z</dcterms:created>
  <dcterms:modified xsi:type="dcterms:W3CDTF">2026-09-27T02:54:45Z</dcterms:modified>
</cp:coreProperties>
</file>