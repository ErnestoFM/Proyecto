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2" activeTab="2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ISR 2026 MENSUAL" sheetId="2" state="visible" r:id="rId2"/>
    <sheet xmlns:r="http://schemas.openxmlformats.org/officeDocument/2006/relationships" name="NOMINA" sheetId="3" state="visible" r:id="rId3"/>
    <sheet xmlns:r="http://schemas.openxmlformats.org/officeDocument/2006/relationships" name="GASTOS FIJOS" sheetId="4" state="visible" r:id="rId4"/>
    <sheet xmlns:r="http://schemas.openxmlformats.org/officeDocument/2006/relationships" name="COSTOS DIRECTOS" sheetId="5" state="visible" r:id="rId5"/>
    <sheet xmlns:r="http://schemas.openxmlformats.org/officeDocument/2006/relationships" name="INVERSION INICIAL" sheetId="6" state="visible" r:id="rId6"/>
    <sheet xmlns:r="http://schemas.openxmlformats.org/officeDocument/2006/relationships" name="PRESTAMO" sheetId="7" state="visible" r:id="rId7"/>
    <sheet xmlns:r="http://schemas.openxmlformats.org/officeDocument/2006/relationships" name="RESUMEN Y COTIZACION" sheetId="8" state="visible" r:id="rId8"/>
    <sheet xmlns:r="http://schemas.openxmlformats.org/officeDocument/2006/relationships" name="INSTRUCCIONES" sheetId="9" state="visible" r:id="rId9"/>
    <sheet xmlns:r="http://schemas.openxmlformats.org/officeDocument/2006/relationships" name="ESTRATEGIA DE VENTA" sheetId="10" state="visible" r:id="rId10"/>
    <sheet xmlns:r="http://schemas.openxmlformats.org/officeDocument/2006/relationships" name="FLUJO DE CAJA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-&quot;$&quot;* #,##0.00_-;\-&quot;$&quot;* #,##0.00_-;_-&quot;$&quot;* &quot;-&quot;??_-;_-@_-"/>
    <numFmt numFmtId="166" formatCode="$#,##0.00"/>
  </numFmts>
  <fonts count="28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00FFFFFF"/>
      <sz val="16"/>
    </font>
    <font>
      <name val="Carlito"/>
      <i val="1"/>
      <color rgb="00FFFFFF"/>
      <sz val="11"/>
    </font>
    <font>
      <name val="Carlito"/>
      <b val="1"/>
      <color rgb="00000000"/>
      <sz val="10"/>
    </font>
    <font>
      <name val="Carlito"/>
      <color rgb="00000000"/>
      <sz val="10"/>
    </font>
    <font>
      <name val="Carlito"/>
      <b val="1"/>
      <color rgb="00FFFFFF"/>
      <sz val="12"/>
    </font>
    <font>
      <name val="Carlito"/>
      <b val="1"/>
      <color rgb="00FFFFFF"/>
      <sz val="10"/>
    </font>
    <font>
      <name val="Carlito"/>
      <i val="1"/>
      <color rgb="00555555"/>
      <sz val="9"/>
    </font>
    <font>
      <name val="Carlito"/>
      <b val="1"/>
      <color rgb="0017365D"/>
      <sz val="11"/>
    </font>
    <font>
      <name val="Carlito"/>
      <b val="1"/>
      <color rgb="00FFFFFF"/>
      <sz val="15"/>
    </font>
    <font>
      <name val="Carlito"/>
      <i val="1"/>
      <color rgb="00FFFFFF"/>
      <sz val="10"/>
    </font>
    <font>
      <name val="Carlito"/>
      <b val="1"/>
      <color rgb="00000000"/>
      <sz val="9.5"/>
    </font>
    <font>
      <name val="Carlito"/>
      <color rgb="00000000"/>
      <sz val="9.5"/>
    </font>
    <font>
      <name val="Carlito"/>
      <b val="1"/>
      <color rgb="00FFFFFF"/>
      <sz val="11"/>
    </font>
    <font>
      <name val="Carlito"/>
      <b val="1"/>
      <color rgb="00FFFFFF"/>
      <sz val="9.5"/>
    </font>
    <font>
      <name val="Carlito"/>
      <i val="1"/>
      <color rgb="00555555"/>
      <sz val="8.5"/>
    </font>
    <font>
      <name val="Carlito"/>
      <b val="1"/>
      <color rgb="0017365D"/>
      <sz val="10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00000"/>
      <sz val="9.5"/>
    </font>
    <font>
      <name val="Arial"/>
      <color rgb="001E293B"/>
      <sz val="9.5"/>
    </font>
    <font>
      <name val="Arial"/>
      <b val="1"/>
      <color rgb="00FFFFFF"/>
      <sz val="11"/>
    </font>
    <font>
      <name val="Arial"/>
      <b val="1"/>
      <color rgb="00FFFFFF"/>
      <sz val="9.5"/>
    </font>
    <font>
      <name val="Consolas"/>
      <color rgb="002B4C7E"/>
      <sz val="8.5"/>
    </font>
    <font>
      <name val="Arial"/>
      <b val="1"/>
      <color rgb="0017365D"/>
      <sz val="10"/>
    </font>
    <font>
      <name val="Arial"/>
      <i val="1"/>
      <color rgb="0064748B"/>
      <sz val="8.5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AF4F6"/>
      </patternFill>
    </fill>
    <fill>
      <patternFill patternType="solid">
        <fgColor rgb="0017365D"/>
        <bgColor rgb="0017365D"/>
      </patternFill>
    </fill>
    <fill>
      <patternFill patternType="solid">
        <fgColor rgb="00F0F4F8"/>
        <bgColor rgb="00F0F4F8"/>
      </patternFill>
    </fill>
    <fill>
      <patternFill patternType="solid">
        <fgColor rgb="00244B7A"/>
        <bgColor rgb="00244B7A"/>
      </patternFill>
    </fill>
    <fill>
      <patternFill patternType="solid">
        <fgColor rgb="00E2F0D9"/>
        <bgColor rgb="00E2F0D9"/>
      </patternFill>
    </fill>
    <fill>
      <patternFill patternType="solid">
        <fgColor rgb="00D9E2EC"/>
        <bgColor rgb="00D9E2EC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2" fillId="0" borderId="0"/>
    <xf numFmtId="44" fontId="2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0" borderId="0" pivotButton="0" quotePrefix="0" xfId="0"/>
    <xf numFmtId="0" fontId="0" fillId="4" borderId="0" pivotButton="0" quotePrefix="0" xfId="0"/>
    <xf numFmtId="165" fontId="0" fillId="3" borderId="0" pivotButton="0" quotePrefix="0" xfId="1"/>
    <xf numFmtId="165" fontId="0" fillId="3" borderId="0" pivotButton="0" quotePrefix="0" xfId="1"/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7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pivotButton="0" quotePrefix="0" xfId="0"/>
    <xf numFmtId="166" fontId="5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/>
    </xf>
    <xf numFmtId="0" fontId="5" fillId="9" borderId="1" pivotButton="0" quotePrefix="0" xfId="0"/>
    <xf numFmtId="166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10" fillId="9" borderId="1" pivotButton="0" quotePrefix="0" xfId="0"/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2" fillId="5" borderId="1" applyAlignment="1" pivotButton="0" quotePrefix="0" xfId="0">
      <alignment horizontal="center" vertical="center"/>
    </xf>
    <xf numFmtId="0" fontId="13" fillId="6" borderId="1" pivotButton="0" quotePrefix="0" xfId="0"/>
    <xf numFmtId="0" fontId="14" fillId="0" borderId="1" pivotButton="0" quotePrefix="0" xfId="0"/>
    <xf numFmtId="0" fontId="15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166" fontId="13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3" fillId="8" borderId="1" pivotButton="0" quotePrefix="0" xfId="0"/>
    <xf numFmtId="166" fontId="13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/>
    </xf>
    <xf numFmtId="3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9" borderId="1" pivotButton="0" quotePrefix="0" xfId="0"/>
    <xf numFmtId="166" fontId="13" fillId="9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8" fillId="9" borderId="1" pivotButton="0" quotePrefix="0" xfId="0"/>
    <xf numFmtId="0" fontId="0" fillId="9" borderId="1" pivotButton="0" quotePrefix="0" xfId="0"/>
    <xf numFmtId="0" fontId="14" fillId="0" borderId="1" applyAlignment="1" pivotButton="0" quotePrefix="0" xfId="0">
      <alignment horizontal="left" vertical="top" wrapText="1"/>
    </xf>
    <xf numFmtId="0" fontId="19" fillId="5" borderId="6" applyAlignment="1" pivotButton="0" quotePrefix="0" xfId="0">
      <alignment horizontal="center" vertical="center"/>
    </xf>
    <xf numFmtId="0" fontId="0" fillId="5" borderId="6" pivotButton="0" quotePrefix="0" xfId="0"/>
    <xf numFmtId="0" fontId="20" fillId="5" borderId="6" applyAlignment="1" pivotButton="0" quotePrefix="0" xfId="0">
      <alignment horizontal="center" vertical="center"/>
    </xf>
    <xf numFmtId="0" fontId="21" fillId="6" borderId="6" pivotButton="0" quotePrefix="0" xfId="0"/>
    <xf numFmtId="0" fontId="22" fillId="0" borderId="6" pivotButton="0" quotePrefix="0" xfId="0"/>
    <xf numFmtId="0" fontId="0" fillId="0" borderId="6" pivotButton="0" quotePrefix="0" xfId="0"/>
    <xf numFmtId="0" fontId="23" fillId="7" borderId="6" applyAlignment="1" pivotButton="0" quotePrefix="0" xfId="0">
      <alignment horizontal="left" vertical="center" indent="1"/>
    </xf>
    <xf numFmtId="0" fontId="0" fillId="7" borderId="6" pivotButton="0" quotePrefix="0" xfId="0"/>
    <xf numFmtId="0" fontId="24" fillId="5" borderId="6" applyAlignment="1" pivotButton="0" quotePrefix="0" xfId="0">
      <alignment horizontal="left" vertical="center" wrapText="1"/>
    </xf>
    <xf numFmtId="0" fontId="24" fillId="5" borderId="6" applyAlignment="1" pivotButton="0" quotePrefix="0" xfId="0">
      <alignment horizontal="center" vertical="center"/>
    </xf>
    <xf numFmtId="166" fontId="22" fillId="0" borderId="6" applyAlignment="1" pivotButton="0" quotePrefix="0" xfId="0">
      <alignment horizontal="right" vertical="center"/>
    </xf>
    <xf numFmtId="0" fontId="25" fillId="0" borderId="6" applyAlignment="1" pivotButton="0" quotePrefix="0" xfId="0">
      <alignment horizontal="center" vertical="center"/>
    </xf>
    <xf numFmtId="164" fontId="22" fillId="0" borderId="6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 wrapText="1"/>
    </xf>
    <xf numFmtId="166" fontId="21" fillId="6" borderId="6" applyAlignment="1" pivotButton="0" quotePrefix="0" xfId="0">
      <alignment horizontal="right" vertical="center"/>
    </xf>
    <xf numFmtId="0" fontId="25" fillId="6" borderId="6" applyAlignment="1" pivotButton="0" quotePrefix="0" xfId="0">
      <alignment horizontal="center" vertical="center"/>
    </xf>
    <xf numFmtId="164" fontId="21" fillId="6" borderId="6" applyAlignment="1" pivotButton="0" quotePrefix="0" xfId="0">
      <alignment horizontal="center" vertical="center"/>
    </xf>
    <xf numFmtId="0" fontId="22" fillId="6" borderId="6" applyAlignment="1" pivotButton="0" quotePrefix="0" xfId="0">
      <alignment horizontal="left" vertical="center" wrapText="1"/>
    </xf>
    <xf numFmtId="0" fontId="21" fillId="8" borderId="6" pivotButton="0" quotePrefix="0" xfId="0"/>
    <xf numFmtId="166" fontId="21" fillId="8" borderId="6" applyAlignment="1" pivotButton="0" quotePrefix="0" xfId="0">
      <alignment horizontal="right" vertical="center"/>
    </xf>
    <xf numFmtId="0" fontId="25" fillId="8" borderId="6" applyAlignment="1" pivotButton="0" quotePrefix="0" xfId="0">
      <alignment horizontal="center" vertical="center"/>
    </xf>
    <xf numFmtId="164" fontId="21" fillId="8" borderId="6" applyAlignment="1" pivotButton="0" quotePrefix="0" xfId="0">
      <alignment horizontal="center" vertical="center"/>
    </xf>
    <xf numFmtId="0" fontId="22" fillId="8" borderId="6" applyAlignment="1" pivotButton="0" quotePrefix="0" xfId="0">
      <alignment horizontal="left" vertical="center" wrapText="1"/>
    </xf>
    <xf numFmtId="3" fontId="22" fillId="0" borderId="6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9" borderId="6" pivotButton="0" quotePrefix="0" xfId="0"/>
    <xf numFmtId="166" fontId="21" fillId="9" borderId="6" applyAlignment="1" pivotButton="0" quotePrefix="0" xfId="0">
      <alignment horizontal="right" vertical="center"/>
    </xf>
    <xf numFmtId="164" fontId="21" fillId="9" borderId="6" applyAlignment="1" pivotButton="0" quotePrefix="0" xfId="0">
      <alignment horizontal="center" vertical="center"/>
    </xf>
    <xf numFmtId="0" fontId="21" fillId="9" borderId="6" applyAlignment="1" pivotButton="0" quotePrefix="0" xfId="0">
      <alignment horizontal="center" vertical="center"/>
    </xf>
    <xf numFmtId="0" fontId="22" fillId="9" borderId="6" applyAlignment="1" pivotButton="0" quotePrefix="0" xfId="0">
      <alignment horizontal="left" vertical="center" wrapText="1"/>
    </xf>
    <xf numFmtId="0" fontId="26" fillId="9" borderId="6" pivotButton="0" quotePrefix="0" xfId="0"/>
    <xf numFmtId="0" fontId="0" fillId="9" borderId="6" pivotButton="0" quotePrefix="0" xfId="0"/>
    <xf numFmtId="0" fontId="22" fillId="0" borderId="6" applyAlignment="1" pivotButton="0" quotePrefix="0" xfId="0">
      <alignment horizontal="left" vertical="top" wrapText="1"/>
    </xf>
    <xf numFmtId="0" fontId="27" fillId="0" borderId="6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9" defaultRowHeight="14.25" outlineLevelCol="0"/>
  <cols>
    <col width="32" customWidth="1" min="1" max="1"/>
    <col width="57.75" customWidth="1" min="2" max="2"/>
    <col width="85" customWidth="1" min="3" max="3"/>
  </cols>
  <sheetData>
    <row r="1" ht="35.1" customHeight="1">
      <c r="A1" s="1" t="inlineStr">
        <is>
          <t>Parámetro</t>
        </is>
      </c>
      <c r="B1" s="1" t="inlineStr">
        <is>
          <t>Valor / captura</t>
        </is>
      </c>
      <c r="C1" s="1" t="inlineStr">
        <is>
          <t>Orientación</t>
        </is>
      </c>
    </row>
    <row r="2">
      <c r="A2" t="inlineStr">
        <is>
          <t>Proyecto</t>
        </is>
      </c>
      <c r="B2" s="3" t="inlineStr">
        <is>
          <t>Monchis Café — Plataforma Web y POS Seguro para Cafetería Orgánica</t>
        </is>
      </c>
      <c r="C2" t="inlineStr">
        <is>
          <t>Cambiar por el proyecto elegido</t>
        </is>
      </c>
    </row>
    <row r="3">
      <c r="A3" t="inlineStr">
        <is>
          <t>Año</t>
        </is>
      </c>
      <c r="B3" s="3" t="n">
        <v>2026</v>
      </c>
      <c r="C3" t="inlineStr">
        <is>
          <t>Año de ejercicio fiscal (tarifas de retención de ISR y UMA 2026)</t>
        </is>
      </c>
    </row>
    <row r="4">
      <c r="A4" t="inlineStr">
        <is>
          <t>Duración (meses)</t>
        </is>
      </c>
      <c r="B4" s="3" t="n">
        <v>4</v>
      </c>
      <c r="C4" t="inlineStr">
        <is>
          <t>Meses de ejecución</t>
        </is>
      </c>
    </row>
    <row r="5">
      <c r="A5" t="inlineStr">
        <is>
          <t>Proyectos a entregar</t>
        </is>
      </c>
      <c r="B5" s="3" t="n">
        <v>1</v>
      </c>
      <c r="C5" t="inlineStr">
        <is>
          <t>Cantidad de soluciones idénticas a comercializar</t>
        </is>
      </c>
    </row>
    <row r="6">
      <c r="A6" t="inlineStr">
        <is>
          <t>Margen deseado sobre venta</t>
        </is>
      </c>
      <c r="B6" s="4" t="n">
        <v>0.3</v>
      </c>
      <c r="C6" t="inlineStr">
        <is>
          <t>Ejemplo 0.30 significa utilidad 30% del precio sin IVA</t>
        </is>
      </c>
    </row>
    <row r="7">
      <c r="A7" t="inlineStr">
        <is>
          <t>IVA facturación</t>
        </is>
      </c>
      <c r="B7" s="4" t="n">
        <v>0.16</v>
      </c>
      <c r="C7" t="inlineStr">
        <is>
          <t>Se adiciona al precio; no es utilidad</t>
        </is>
      </c>
    </row>
    <row r="8">
      <c r="A8" t="inlineStr">
        <is>
          <t>Contingencia sobre costo</t>
        </is>
      </c>
      <c r="B8" s="4" t="n">
        <v>0.1</v>
      </c>
      <c r="C8" t="inlineStr">
        <is>
          <t>Reserva para imprevistos</t>
        </is>
      </c>
    </row>
    <row r="9">
      <c r="A9" t="inlineStr">
        <is>
          <t>Carga patronal estimada</t>
        </is>
      </c>
      <c r="B9" s="4" t="n">
        <v>0.3</v>
      </c>
      <c r="C9" t="inlineStr">
        <is>
          <t>Aproximación técnica: IMSS, aportación INFONAVIT 5% e ISN local 3% (Jalisco/Michoacán)</t>
        </is>
      </c>
    </row>
    <row r="10">
      <c r="A10" t="inlineStr">
        <is>
          <t>Horas productivas al mes</t>
        </is>
      </c>
      <c r="B10" s="3" t="n">
        <v>160</v>
      </c>
      <c r="C10" t="inlineStr">
        <is>
          <t>Para estimar costo por hora</t>
        </is>
      </c>
    </row>
    <row r="11">
      <c r="A11" t="inlineStr">
        <is>
          <t>UMA diaria 2026</t>
        </is>
      </c>
      <c r="B11" s="3" t="n">
        <v>117.31</v>
      </c>
      <c r="C11" t="inlineStr">
        <is>
          <t>INEGI vigente desde 01/02/2026</t>
        </is>
      </c>
    </row>
    <row r="12">
      <c r="A12" t="inlineStr">
        <is>
          <t>Subsidio empleo ingreso máximo</t>
        </is>
      </c>
      <c r="B12" s="3" t="n">
        <v>11492.66</v>
      </c>
      <c r="C12" t="inlineStr">
        <is>
          <t>Límite mensual establecido para 2026</t>
        </is>
      </c>
    </row>
    <row r="13">
      <c r="A13" t="inlineStr">
        <is>
          <t>Subsidio mensual 2026</t>
        </is>
      </c>
      <c r="B13">
        <f>ROUND(3566.22*15.02%,2)</f>
        <v/>
      </c>
      <c r="C13" t="inlineStr">
        <is>
          <t>Valor general desde febrero; enero tiene excepción normativa</t>
        </is>
      </c>
    </row>
    <row r="14">
      <c r="A14" t="inlineStr">
        <is>
          <t>Interés anual préstamo</t>
        </is>
      </c>
      <c r="B14" s="4" t="n">
        <v>0.18</v>
      </c>
      <c r="C14" t="inlineStr">
        <is>
          <t>Supuesto ajustable</t>
        </is>
      </c>
    </row>
    <row r="15">
      <c r="A15" t="inlineStr">
        <is>
          <t>Plazo préstamo (meses)</t>
        </is>
      </c>
      <c r="B15" s="3" t="n">
        <v>24</v>
      </c>
      <c r="C15" t="inlineStr">
        <is>
          <t>Supuesto ajustable</t>
        </is>
      </c>
    </row>
    <row r="16">
      <c r="A16" t="inlineStr">
        <is>
          <t>Fracción de inversión inicial imputada al proyecto</t>
        </is>
      </c>
      <c r="B16" s="4" t="n">
        <v>1</v>
      </c>
      <c r="C16" t="inlineStr">
        <is>
          <t>Fracción inversión inicial imputada al proyecto (0 a 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22" customWidth="1" min="1" max="1"/>
    <col width="23" customWidth="1" min="2" max="2"/>
    <col width="20" customWidth="1" min="3" max="3"/>
    <col width="23" customWidth="1" min="4" max="4"/>
    <col width="76" customWidth="1" min="5" max="5"/>
  </cols>
  <sheetData>
    <row r="1" ht="35.1" customHeight="1">
      <c r="A1" s="1" t="inlineStr">
        <is>
          <t>Límite inferior</t>
        </is>
      </c>
      <c r="B1" s="1" t="inlineStr">
        <is>
          <t>Límite superior</t>
        </is>
      </c>
      <c r="C1" s="1" t="inlineStr">
        <is>
          <t>Cuota fija</t>
        </is>
      </c>
      <c r="D1" s="1" t="inlineStr">
        <is>
          <t>Tasa excedente</t>
        </is>
      </c>
      <c r="E1" s="1" t="inlineStr">
        <is>
          <t>Fuente / aplicación</t>
        </is>
      </c>
    </row>
    <row r="2">
      <c r="A2" t="n">
        <v>0.01</v>
      </c>
      <c r="B2" t="n">
        <v>844.59</v>
      </c>
      <c r="C2" t="n">
        <v>0</v>
      </c>
      <c r="D2" s="5" t="n">
        <v>0.0192</v>
      </c>
      <c r="E2" t="inlineStr">
        <is>
          <t>SAT / DOF Anexo 8 RMF 2026, retención mensual salarios</t>
        </is>
      </c>
    </row>
    <row r="3">
      <c r="A3" t="n">
        <v>844.6</v>
      </c>
      <c r="B3" t="n">
        <v>7168.51</v>
      </c>
      <c r="C3" t="n">
        <v>16.22</v>
      </c>
      <c r="D3" s="5" t="n">
        <v>0.064</v>
      </c>
      <c r="E3" t="inlineStr">
        <is>
          <t>SAT / DOF Anexo 8 RMF 2026, retención mensual salarios</t>
        </is>
      </c>
    </row>
    <row r="4">
      <c r="A4" t="n">
        <v>7168.52</v>
      </c>
      <c r="B4" t="n">
        <v>12598.02</v>
      </c>
      <c r="C4" t="n">
        <v>420.95</v>
      </c>
      <c r="D4" s="5" t="n">
        <v>0.1088</v>
      </c>
      <c r="E4" t="inlineStr">
        <is>
          <t>SAT / DOF Anexo 8 RMF 2026, retención mensual salarios</t>
        </is>
      </c>
    </row>
    <row r="5">
      <c r="A5" t="n">
        <v>12598.03</v>
      </c>
      <c r="B5" t="n">
        <v>14644.64</v>
      </c>
      <c r="C5" t="n">
        <v>1011.68</v>
      </c>
      <c r="D5" s="5" t="n">
        <v>0.16</v>
      </c>
      <c r="E5" t="inlineStr">
        <is>
          <t>SAT / DOF Anexo 8 RMF 2026, retención mensual salarios</t>
        </is>
      </c>
    </row>
    <row r="6">
      <c r="A6" t="n">
        <v>14644.65</v>
      </c>
      <c r="B6" t="n">
        <v>17533.64</v>
      </c>
      <c r="C6" t="n">
        <v>1339.14</v>
      </c>
      <c r="D6" s="5" t="n">
        <v>0.1792</v>
      </c>
      <c r="E6" t="inlineStr">
        <is>
          <t>SAT / DOF Anexo 8 RMF 2026, retención mensual salarios</t>
        </is>
      </c>
    </row>
    <row r="7">
      <c r="A7" t="n">
        <v>17533.65</v>
      </c>
      <c r="B7" t="n">
        <v>35362.83</v>
      </c>
      <c r="C7" t="n">
        <v>1856.84</v>
      </c>
      <c r="D7" s="5" t="n">
        <v>0.2136</v>
      </c>
      <c r="E7" t="inlineStr">
        <is>
          <t>SAT / DOF Anexo 8 RMF 2026, retención mensual salarios</t>
        </is>
      </c>
    </row>
    <row r="8">
      <c r="A8" t="n">
        <v>35362.84</v>
      </c>
      <c r="B8" t="n">
        <v>55736.68</v>
      </c>
      <c r="C8" t="n">
        <v>5665.16</v>
      </c>
      <c r="D8" s="5" t="n">
        <v>0.2352</v>
      </c>
      <c r="E8" t="inlineStr">
        <is>
          <t>SAT / DOF Anexo 8 RMF 2026, retención mensual salarios</t>
        </is>
      </c>
    </row>
    <row r="9">
      <c r="A9" t="n">
        <v>55736.69</v>
      </c>
      <c r="B9" t="n">
        <v>106410.5</v>
      </c>
      <c r="C9" t="n">
        <v>10457.09</v>
      </c>
      <c r="D9" s="5" t="n">
        <v>0.3</v>
      </c>
      <c r="E9" t="inlineStr">
        <is>
          <t>SAT / DOF Anexo 8 RMF 2026, retención mensual salarios</t>
        </is>
      </c>
    </row>
    <row r="10">
      <c r="A10" t="n">
        <v>106410.51</v>
      </c>
      <c r="B10" t="n">
        <v>141880.66</v>
      </c>
      <c r="C10" t="n">
        <v>25659.23</v>
      </c>
      <c r="D10" s="5" t="n">
        <v>0.32</v>
      </c>
      <c r="E10" t="inlineStr">
        <is>
          <t>SAT / DOF Anexo 8 RMF 2026, retención mensual salarios</t>
        </is>
      </c>
    </row>
    <row r="11">
      <c r="A11" t="n">
        <v>141880.67</v>
      </c>
      <c r="B11" t="n">
        <v>425641.99</v>
      </c>
      <c r="C11" t="n">
        <v>37009.69</v>
      </c>
      <c r="D11" s="5" t="n">
        <v>0.34</v>
      </c>
      <c r="E11" t="inlineStr">
        <is>
          <t>SAT / DOF Anexo 8 RMF 2026, retención mensual salarios</t>
        </is>
      </c>
    </row>
    <row r="12">
      <c r="A12" t="n">
        <v>425642</v>
      </c>
      <c r="B12" t="n">
        <v>999999999</v>
      </c>
      <c r="C12" t="n">
        <v>133488.54</v>
      </c>
      <c r="D12" s="5" t="n">
        <v>0.35</v>
      </c>
      <c r="E12" t="inlineStr">
        <is>
          <t>SAT / DOF Anexo 8 RMF 2026, retención mensual salarios</t>
        </is>
      </c>
    </row>
    <row r="15">
      <c r="A15" t="inlineStr">
        <is>
          <t>Referencia oficial: https://sidof.segob.gob.mx/notas/docFuente/5777219</t>
        </is>
      </c>
    </row>
    <row r="16">
      <c r="A16" t="inlineStr">
        <is>
          <t>No equivale a ISR empresarial sobre utilidades. ISR se retiene al trabajador.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9" defaultRowHeight="14.25" outlineLevelCol="0"/>
  <cols>
    <col width="29" customWidth="1" min="1" max="1"/>
    <col width="23" customWidth="1" min="2" max="2"/>
    <col width="13" customWidth="1" min="3" max="3"/>
    <col width="21" customWidth="1" min="4" max="4"/>
    <col width="19" customWidth="1" min="5" max="5"/>
    <col width="16" customWidth="1" min="6" max="6"/>
    <col width="22" customWidth="1" min="7" max="7"/>
    <col width="20" customWidth="1" min="8" max="8"/>
    <col width="23" customWidth="1" min="9" max="9"/>
    <col width="22" customWidth="1" min="10" max="10"/>
    <col width="19" customWidth="1" min="11" max="11"/>
    <col width="17" customWidth="1" min="12" max="12"/>
  </cols>
  <sheetData>
    <row r="1" ht="35.1" customHeight="1">
      <c r="A1" s="1" t="inlineStr">
        <is>
          <t>Puesto</t>
        </is>
      </c>
      <c r="B1" s="1" t="inlineStr">
        <is>
          <t>Sueldo mensual / persona</t>
        </is>
      </c>
      <c r="C1" s="1" t="inlineStr">
        <is>
          <t>Personas</t>
        </is>
      </c>
      <c r="D1" s="1" t="inlineStr">
        <is>
          <t>Sueldo bruto total</t>
        </is>
      </c>
      <c r="E1" s="1" t="inlineStr">
        <is>
          <t>ISR por persona</t>
        </is>
      </c>
      <c r="F1" s="1" t="inlineStr">
        <is>
          <t>ISR total</t>
        </is>
      </c>
      <c r="G1" s="1" t="inlineStr">
        <is>
          <t>Subsidio por persona</t>
        </is>
      </c>
      <c r="H1" s="1" t="inlineStr">
        <is>
          <t>Neto mensual total</t>
        </is>
      </c>
      <c r="I1" s="1" t="inlineStr">
        <is>
          <t>Carga patronal estimada</t>
        </is>
      </c>
      <c r="J1" s="1" t="inlineStr">
        <is>
          <t>Costo mensual empresa</t>
        </is>
      </c>
      <c r="K1" s="1" t="inlineStr">
        <is>
          <t>Horas mes equipo</t>
        </is>
      </c>
      <c r="L1" s="1" t="inlineStr">
        <is>
          <t>Costo por hora</t>
        </is>
      </c>
    </row>
    <row r="2">
      <c r="A2" t="inlineStr">
        <is>
          <t>Líder de Proyecto / Scrum Master &amp; DevOps</t>
        </is>
      </c>
      <c r="B2" s="8" t="n">
        <v>36000</v>
      </c>
      <c r="C2" s="3" t="n">
        <v>1</v>
      </c>
      <c r="D2">
        <f>B2*C2</f>
        <v/>
      </c>
      <c r="E2">
        <f>IF(B2&lt;=0,0,ROUND(INDEX('ISR 2026 MENSUAL'!$C$2:$C$12,MATCH(B2,'ISR 2026 MENSUAL'!$A$2:$A$12,1))+(B2-INDEX('ISR 2026 MENSUAL'!$A$2:$A$12,MATCH(B2,'ISR 2026 MENSUAL'!$A$2:$A$12,1)))*INDEX('ISR 2026 MENSUAL'!$D$2:$D$12,MATCH(B2,'ISR 2026 MENSUAL'!$A$2:$A$12,1)),2))</f>
        <v/>
      </c>
      <c r="F2">
        <f>MAX(0,(E2-G2)*C2)</f>
        <v/>
      </c>
      <c r="G2">
        <f>IF(AND(B2&gt;0,B2&lt;=PARAMETROS!$B$12),MIN(E2,PARAMETROS!$B$13),0)</f>
        <v/>
      </c>
      <c r="H2">
        <f>D2-F2</f>
        <v/>
      </c>
      <c r="I2">
        <f>D2*PARAMETROS!$B$9</f>
        <v/>
      </c>
      <c r="J2">
        <f>D2+I2</f>
        <v/>
      </c>
      <c r="K2">
        <f>C2*PARAMETROS!$B$10</f>
        <v/>
      </c>
      <c r="L2">
        <f>IFERROR(J2/K2,0)</f>
        <v/>
      </c>
    </row>
    <row r="3">
      <c r="A3" t="inlineStr">
        <is>
          <t>Desarrolladora Frontend Core (Vue 3 / UI)</t>
        </is>
      </c>
      <c r="B3" s="3" t="n">
        <v>20000</v>
      </c>
      <c r="C3" s="3" t="n">
        <v>1</v>
      </c>
      <c r="D3">
        <f>B3*C3</f>
        <v/>
      </c>
      <c r="E3">
        <f>IF(B3&lt;=0,0,ROUND(INDEX('ISR 2026 MENSUAL'!$C$2:$C$12,MATCH(B3,'ISR 2026 MENSUAL'!$A$2:$A$12,1))+(B3-INDEX('ISR 2026 MENSUAL'!$A$2:$A$12,MATCH(B3,'ISR 2026 MENSUAL'!$A$2:$A$12,1)))*INDEX('ISR 2026 MENSUAL'!$D$2:$D$12,MATCH(B3,'ISR 2026 MENSUAL'!$A$2:$A$12,1)),2))</f>
        <v/>
      </c>
      <c r="F3">
        <f>MAX(0,(E3-G3)*C3)</f>
        <v/>
      </c>
      <c r="G3">
        <f>IF(AND(B3&gt;0,B3&lt;=PARAMETROS!$B$12),MIN(E3,PARAMETROS!$B$13),0)</f>
        <v/>
      </c>
      <c r="H3">
        <f>D3-F3</f>
        <v/>
      </c>
      <c r="I3">
        <f>D3*PARAMETROS!$B$9</f>
        <v/>
      </c>
      <c r="J3">
        <f>D3+I3</f>
        <v/>
      </c>
      <c r="K3">
        <f>C3*PARAMETROS!$B$10</f>
        <v/>
      </c>
      <c r="L3">
        <f>IFERROR(J3/K3,0)</f>
        <v/>
      </c>
    </row>
    <row r="4">
      <c r="A4" t="inlineStr">
        <is>
          <t>Desarrollador Backend Core (Node.js / APIs)</t>
        </is>
      </c>
      <c r="B4" s="3" t="n">
        <v>20000</v>
      </c>
      <c r="C4" s="3" t="n">
        <v>1</v>
      </c>
      <c r="D4">
        <f>B4*C4</f>
        <v/>
      </c>
      <c r="E4">
        <f>IF(B4&lt;=0,0,ROUND(INDEX('ISR 2026 MENSUAL'!$C$2:$C$12,MATCH(B4,'ISR 2026 MENSUAL'!$A$2:$A$12,1))+(B4-INDEX('ISR 2026 MENSUAL'!$A$2:$A$12,MATCH(B4,'ISR 2026 MENSUAL'!$A$2:$A$12,1)))*INDEX('ISR 2026 MENSUAL'!$D$2:$D$12,MATCH(B4,'ISR 2026 MENSUAL'!$A$2:$A$12,1)),2))</f>
        <v/>
      </c>
      <c r="F4">
        <f>MAX(0,(E4-G4)*C4)</f>
        <v/>
      </c>
      <c r="G4">
        <f>IF(AND(B4&gt;0,B4&lt;=PARAMETROS!$B$12),MIN(E4,PARAMETROS!$B$13),0)</f>
        <v/>
      </c>
      <c r="H4">
        <f>D4-F4</f>
        <v/>
      </c>
      <c r="I4">
        <f>D4*PARAMETROS!$B$9</f>
        <v/>
      </c>
      <c r="J4">
        <f>D4+I4</f>
        <v/>
      </c>
      <c r="K4">
        <f>C4*PARAMETROS!$B$10</f>
        <v/>
      </c>
      <c r="L4">
        <f>IFERROR(J4/K4,0)</f>
        <v/>
      </c>
    </row>
    <row r="5">
      <c r="A5" t="inlineStr">
        <is>
          <t>Product Owner / analista</t>
        </is>
      </c>
      <c r="B5" s="3" t="n"/>
      <c r="C5" s="3" t="n"/>
      <c r="D5">
        <f>B5*C5</f>
        <v/>
      </c>
      <c r="E5">
        <f>IF(B5&lt;=0,0,ROUND(INDEX('ISR 2026 MENSUAL'!$C$2:$C$12,MATCH(B5,'ISR 2026 MENSUAL'!$A$2:$A$12,1))+(B5-INDEX('ISR 2026 MENSUAL'!$A$2:$A$12,MATCH(B5,'ISR 2026 MENSUAL'!$A$2:$A$12,1)))*INDEX('ISR 2026 MENSUAL'!$D$2:$D$12,MATCH(B5,'ISR 2026 MENSUAL'!$A$2:$A$12,1)),2))</f>
        <v/>
      </c>
      <c r="F5">
        <f>MAX(0,(E5-G5)*C5)</f>
        <v/>
      </c>
      <c r="G5">
        <f>IF(AND(B5&gt;0,B5&lt;=PARAMETROS!$B$12),MIN(E5,PARAMETROS!$B$13),0)</f>
        <v/>
      </c>
      <c r="H5">
        <f>D5-F5</f>
        <v/>
      </c>
      <c r="I5">
        <f>D5*PARAMETROS!$B$9</f>
        <v/>
      </c>
      <c r="J5">
        <f>D5+I5</f>
        <v/>
      </c>
      <c r="K5">
        <f>C5*PARAMETROS!$B$10</f>
        <v/>
      </c>
      <c r="L5">
        <f>IFERROR(J5/K5,0)</f>
        <v/>
      </c>
    </row>
    <row r="6">
      <c r="A6" t="inlineStr">
        <is>
          <t>Diseñador UX/UI</t>
        </is>
      </c>
      <c r="B6" s="3" t="n"/>
      <c r="C6" s="3" t="n"/>
      <c r="D6">
        <f>B6*C6</f>
        <v/>
      </c>
      <c r="E6">
        <f>IF(B6&lt;=0,0,ROUND(INDEX('ISR 2026 MENSUAL'!$C$2:$C$12,MATCH(B6,'ISR 2026 MENSUAL'!$A$2:$A$12,1))+(B6-INDEX('ISR 2026 MENSUAL'!$A$2:$A$12,MATCH(B6,'ISR 2026 MENSUAL'!$A$2:$A$12,1)))*INDEX('ISR 2026 MENSUAL'!$D$2:$D$12,MATCH(B6,'ISR 2026 MENSUAL'!$A$2:$A$12,1)),2))</f>
        <v/>
      </c>
      <c r="F6">
        <f>MAX(0,(E6-G6)*C6)</f>
        <v/>
      </c>
      <c r="G6">
        <f>IF(AND(B6&gt;0,B6&lt;=PARAMETROS!$B$12),MIN(E6,PARAMETROS!$B$13),0)</f>
        <v/>
      </c>
      <c r="H6">
        <f>D6-F6</f>
        <v/>
      </c>
      <c r="I6">
        <f>D6*PARAMETROS!$B$9</f>
        <v/>
      </c>
      <c r="J6">
        <f>D6+I6</f>
        <v/>
      </c>
      <c r="K6">
        <f>C6*PARAMETROS!$B$10</f>
        <v/>
      </c>
      <c r="L6">
        <f>IFERROR(J6/K6,0)</f>
        <v/>
      </c>
    </row>
    <row r="7">
      <c r="A7" t="inlineStr">
        <is>
          <t>Especialista en QA, Automatización &amp; Ciberseguridad</t>
        </is>
      </c>
      <c r="B7" s="3" t="n">
        <v>13500</v>
      </c>
      <c r="C7" s="3" t="n">
        <v>1</v>
      </c>
      <c r="D7">
        <f>B7*C7</f>
        <v/>
      </c>
      <c r="E7">
        <f>IF(B7&lt;=0,0,ROUND(INDEX('ISR 2026 MENSUAL'!$C$2:$C$12,MATCH(B7,'ISR 2026 MENSUAL'!$A$2:$A$12,1))+(B7-INDEX('ISR 2026 MENSUAL'!$A$2:$A$12,MATCH(B7,'ISR 2026 MENSUAL'!$A$2:$A$12,1)))*INDEX('ISR 2026 MENSUAL'!$D$2:$D$12,MATCH(B7,'ISR 2026 MENSUAL'!$A$2:$A$12,1)),2))</f>
        <v/>
      </c>
      <c r="F7">
        <f>MAX(0,(E7-G7)*C7)</f>
        <v/>
      </c>
      <c r="G7">
        <f>IF(AND(B7&gt;0,B7&lt;=PARAMETROS!$B$12),MIN(E7,PARAMETROS!$B$13),0)</f>
        <v/>
      </c>
      <c r="H7">
        <f>D7-F7</f>
        <v/>
      </c>
      <c r="I7">
        <f>D7*PARAMETROS!$B$9</f>
        <v/>
      </c>
      <c r="J7">
        <f>D7+I7</f>
        <v/>
      </c>
      <c r="K7">
        <f>C7*PARAMETROS!$B$10</f>
        <v/>
      </c>
      <c r="L7">
        <f>IFERROR(J7/K7,0)</f>
        <v/>
      </c>
    </row>
    <row r="8">
      <c r="A8" t="inlineStr">
        <is>
          <t>Administrador BD</t>
        </is>
      </c>
      <c r="B8" s="3" t="n"/>
      <c r="C8" s="3" t="n"/>
      <c r="D8">
        <f>B8*C8</f>
        <v/>
      </c>
      <c r="E8">
        <f>IF(B8&lt;=0,0,ROUND(INDEX('ISR 2026 MENSUAL'!$C$2:$C$12,MATCH(B8,'ISR 2026 MENSUAL'!$A$2:$A$12,1))+(B8-INDEX('ISR 2026 MENSUAL'!$A$2:$A$12,MATCH(B8,'ISR 2026 MENSUAL'!$A$2:$A$12,1)))*INDEX('ISR 2026 MENSUAL'!$D$2:$D$12,MATCH(B8,'ISR 2026 MENSUAL'!$A$2:$A$12,1)),2))</f>
        <v/>
      </c>
      <c r="F8">
        <f>MAX(0,(E8-G8)*C8)</f>
        <v/>
      </c>
      <c r="G8">
        <f>IF(AND(B8&gt;0,B8&lt;=PARAMETROS!$B$12),MIN(E8,PARAMETROS!$B$13),0)</f>
        <v/>
      </c>
      <c r="H8">
        <f>D8-F8</f>
        <v/>
      </c>
      <c r="I8">
        <f>D8*PARAMETROS!$B$9</f>
        <v/>
      </c>
      <c r="J8">
        <f>D8+I8</f>
        <v/>
      </c>
      <c r="K8">
        <f>C8*PARAMETROS!$B$10</f>
        <v/>
      </c>
      <c r="L8">
        <f>IFERROR(J8/K8,0)</f>
        <v/>
      </c>
    </row>
    <row r="9">
      <c r="A9" t="inlineStr">
        <is>
          <t>DevOps / nube</t>
        </is>
      </c>
      <c r="B9" s="3" t="n"/>
      <c r="C9" s="3" t="n"/>
      <c r="D9">
        <f>B9*C9</f>
        <v/>
      </c>
      <c r="E9">
        <f>IF(B9&lt;=0,0,ROUND(INDEX('ISR 2026 MENSUAL'!$C$2:$C$12,MATCH(B9,'ISR 2026 MENSUAL'!$A$2:$A$12,1))+(B9-INDEX('ISR 2026 MENSUAL'!$A$2:$A$12,MATCH(B9,'ISR 2026 MENSUAL'!$A$2:$A$12,1)))*INDEX('ISR 2026 MENSUAL'!$D$2:$D$12,MATCH(B9,'ISR 2026 MENSUAL'!$A$2:$A$12,1)),2))</f>
        <v/>
      </c>
      <c r="F9">
        <f>MAX(0,(E9-G9)*C9)</f>
        <v/>
      </c>
      <c r="G9">
        <f>IF(AND(B9&gt;0,B9&lt;=PARAMETROS!$B$12),MIN(E9,PARAMETROS!$B$13),0)</f>
        <v/>
      </c>
      <c r="H9">
        <f>D9-F9</f>
        <v/>
      </c>
      <c r="I9">
        <f>D9*PARAMETROS!$B$9</f>
        <v/>
      </c>
      <c r="J9">
        <f>D9+I9</f>
        <v/>
      </c>
      <c r="K9">
        <f>C9*PARAMETROS!$B$10</f>
        <v/>
      </c>
      <c r="L9">
        <f>IFERROR(J9/K9,0)</f>
        <v/>
      </c>
    </row>
    <row r="10">
      <c r="A10" t="inlineStr">
        <is>
          <t>Soporte / documentación</t>
        </is>
      </c>
      <c r="B10" s="3" t="n"/>
      <c r="C10" s="3" t="n"/>
      <c r="D10">
        <f>B10*C10</f>
        <v/>
      </c>
      <c r="E10">
        <f>IF(B10&lt;=0,0,ROUND(INDEX('ISR 2026 MENSUAL'!$C$2:$C$12,MATCH(B10,'ISR 2026 MENSUAL'!$A$2:$A$12,1))+(B10-INDEX('ISR 2026 MENSUAL'!$A$2:$A$12,MATCH(B10,'ISR 2026 MENSUAL'!$A$2:$A$12,1)))*INDEX('ISR 2026 MENSUAL'!$D$2:$D$12,MATCH(B10,'ISR 2026 MENSUAL'!$A$2:$A$12,1)),2))</f>
        <v/>
      </c>
      <c r="F10">
        <f>MAX(0,(E10-G10)*C10)</f>
        <v/>
      </c>
      <c r="G10">
        <f>IF(AND(B10&gt;0,B10&lt;=PARAMETROS!$B$12),MIN(E10,PARAMETROS!$B$13),0)</f>
        <v/>
      </c>
      <c r="H10">
        <f>D10-F10</f>
        <v/>
      </c>
      <c r="I10">
        <f>D10*PARAMETROS!$B$9</f>
        <v/>
      </c>
      <c r="J10">
        <f>D10+I10</f>
        <v/>
      </c>
      <c r="K10">
        <f>C10*PARAMETROS!$B$10</f>
        <v/>
      </c>
      <c r="L10">
        <f>IFERROR(J10/K10,0)</f>
        <v/>
      </c>
    </row>
    <row r="11">
      <c r="A11" t="inlineStr">
        <is>
          <t>Otro 1</t>
        </is>
      </c>
      <c r="B11" s="3" t="n"/>
      <c r="C11" s="3" t="n"/>
      <c r="D11">
        <f>B11*C11</f>
        <v/>
      </c>
      <c r="E11">
        <f>IF(B11&lt;=0,0,ROUND(INDEX('ISR 2026 MENSUAL'!$C$2:$C$12,MATCH(B11,'ISR 2026 MENSUAL'!$A$2:$A$12,1))+(B11-INDEX('ISR 2026 MENSUAL'!$A$2:$A$12,MATCH(B11,'ISR 2026 MENSUAL'!$A$2:$A$12,1)))*INDEX('ISR 2026 MENSUAL'!$D$2:$D$12,MATCH(B11,'ISR 2026 MENSUAL'!$A$2:$A$12,1)),2))</f>
        <v/>
      </c>
      <c r="F11">
        <f>MAX(0,(E11-G11)*C11)</f>
        <v/>
      </c>
      <c r="G11">
        <f>IF(AND(B11&gt;0,B11&lt;=PARAMETROS!$B$12),MIN(E11,PARAMETROS!$B$13),0)</f>
        <v/>
      </c>
      <c r="H11">
        <f>D11-F11</f>
        <v/>
      </c>
      <c r="I11">
        <f>D11*PARAMETROS!$B$9</f>
        <v/>
      </c>
      <c r="J11">
        <f>D11+I11</f>
        <v/>
      </c>
      <c r="K11">
        <f>C11*PARAMETROS!$B$10</f>
        <v/>
      </c>
      <c r="L11">
        <f>IFERROR(J11/K11,0)</f>
        <v/>
      </c>
    </row>
    <row r="12">
      <c r="A12" t="inlineStr">
        <is>
          <t>Otro 2</t>
        </is>
      </c>
      <c r="B12" s="3" t="n"/>
      <c r="C12" s="3" t="n"/>
      <c r="D12">
        <f>B12*C12</f>
        <v/>
      </c>
      <c r="E12">
        <f>IF(B12&lt;=0,0,ROUND(INDEX('ISR 2026 MENSUAL'!$C$2:$C$12,MATCH(B12,'ISR 2026 MENSUAL'!$A$2:$A$12,1))+(B12-INDEX('ISR 2026 MENSUAL'!$A$2:$A$12,MATCH(B12,'ISR 2026 MENSUAL'!$A$2:$A$12,1)))*INDEX('ISR 2026 MENSUAL'!$D$2:$D$12,MATCH(B12,'ISR 2026 MENSUAL'!$A$2:$A$12,1)),2))</f>
        <v/>
      </c>
      <c r="F12">
        <f>MAX(0,(E12-G12)*C12)</f>
        <v/>
      </c>
      <c r="G12">
        <f>IF(AND(B12&gt;0,B12&lt;=PARAMETROS!$B$12),MIN(E12,PARAMETROS!$B$13),0)</f>
        <v/>
      </c>
      <c r="H12">
        <f>D12-F12</f>
        <v/>
      </c>
      <c r="I12">
        <f>D12*PARAMETROS!$B$9</f>
        <v/>
      </c>
      <c r="J12">
        <f>D12+I12</f>
        <v/>
      </c>
      <c r="K12">
        <f>C12*PARAMETROS!$B$10</f>
        <v/>
      </c>
      <c r="L12">
        <f>IFERROR(J12/K12,0)</f>
        <v/>
      </c>
    </row>
    <row r="13">
      <c r="A13" t="inlineStr">
        <is>
          <t>Otro 3</t>
        </is>
      </c>
      <c r="B13" s="3" t="n"/>
      <c r="C13" s="3" t="n"/>
      <c r="D13">
        <f>B13*C13</f>
        <v/>
      </c>
      <c r="E13">
        <f>IF(B13&lt;=0,0,ROUND(INDEX('ISR 2026 MENSUAL'!$C$2:$C$12,MATCH(B13,'ISR 2026 MENSUAL'!$A$2:$A$12,1))+(B13-INDEX('ISR 2026 MENSUAL'!$A$2:$A$12,MATCH(B13,'ISR 2026 MENSUAL'!$A$2:$A$12,1)))*INDEX('ISR 2026 MENSUAL'!$D$2:$D$12,MATCH(B13,'ISR 2026 MENSUAL'!$A$2:$A$12,1)),2))</f>
        <v/>
      </c>
      <c r="F13">
        <f>MAX(0,(E13-G13)*C13)</f>
        <v/>
      </c>
      <c r="G13">
        <f>IF(AND(B13&gt;0,B13&lt;=PARAMETROS!$B$12),MIN(E13,PARAMETROS!$B$13),0)</f>
        <v/>
      </c>
      <c r="H13">
        <f>D13-F13</f>
        <v/>
      </c>
      <c r="I13">
        <f>D13*PARAMETROS!$B$9</f>
        <v/>
      </c>
      <c r="J13">
        <f>D13+I13</f>
        <v/>
      </c>
      <c r="K13">
        <f>C13*PARAMETROS!$B$10</f>
        <v/>
      </c>
      <c r="L13">
        <f>IFERROR(J13/K13,0)</f>
        <v/>
      </c>
    </row>
    <row r="15">
      <c r="A15" t="inlineStr">
        <is>
          <t>TOTAL MENSUAL</t>
        </is>
      </c>
      <c r="D15">
        <f>SUM(D2:D13)</f>
        <v/>
      </c>
      <c r="F15">
        <f>SUM(F2:F13)</f>
        <v/>
      </c>
      <c r="H15">
        <f>SUM(H2:H13)</f>
        <v/>
      </c>
      <c r="I15">
        <f>SUM(I2:I13)</f>
        <v/>
      </c>
      <c r="J15">
        <f>SUM(J2:J13)</f>
        <v/>
      </c>
      <c r="K15">
        <f>SUM(K2:K13)</f>
        <v/>
      </c>
    </row>
    <row r="17">
      <c r="A17" t="inlineStr">
        <is>
          <t>ISR = retención al trabajador, no costo patronal adicional.</t>
        </is>
      </c>
    </row>
    <row r="18">
      <c r="A18" t="inlineStr">
        <is>
          <t>Carga patronal: estimación académica configurable; no sustituye cálculo IMSS con SBC, prima riesgo y cuotas reales.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33" customWidth="1" min="1" max="1"/>
    <col width="20" customWidth="1" min="2" max="2"/>
    <col width="21" customWidth="1" min="3" max="3"/>
    <col width="25" customWidth="1" min="4" max="4"/>
    <col width="75" customWidth="1" min="5" max="5"/>
  </cols>
  <sheetData>
    <row r="1" ht="35.1" customHeight="1">
      <c r="A1" s="1" t="inlineStr">
        <is>
          <t>Concepto</t>
        </is>
      </c>
      <c r="B1" s="1" t="inlineStr">
        <is>
          <t>Mensual MXN</t>
        </is>
      </c>
      <c r="C1" s="1" t="inlineStr">
        <is>
          <t>Meses imputados</t>
        </is>
      </c>
      <c r="D1" s="1" t="inlineStr">
        <is>
          <t>Total del proyecto</t>
        </is>
      </c>
      <c r="E1" s="1" t="inlineStr">
        <is>
          <t>Criterio</t>
        </is>
      </c>
    </row>
    <row r="2">
      <c r="A2" t="inlineStr">
        <is>
          <t>Renta / espacio</t>
        </is>
      </c>
      <c r="B2" s="3" t="n">
        <v>6000</v>
      </c>
      <c r="C2">
        <f>PARAMETROS!$B$4</f>
        <v/>
      </c>
      <c r="D2">
        <f>B2*C2</f>
        <v/>
      </c>
      <c r="E2" t="inlineStr">
        <is>
          <t>Espacio de trabajo colaborativo / coworking y sala de reuniones de sprint</t>
        </is>
      </c>
    </row>
    <row r="3">
      <c r="A3" t="inlineStr">
        <is>
          <t>Electricidad</t>
        </is>
      </c>
      <c r="B3" s="3" t="n">
        <v>1200</v>
      </c>
      <c r="C3">
        <f>PARAMETROS!$B$4</f>
        <v/>
      </c>
      <c r="D3">
        <f>B3*C3</f>
        <v/>
      </c>
      <c r="E3" t="inlineStr">
        <is>
          <t>Consumo eléctrico de estaciones de cómputo y climatización del espacio</t>
        </is>
      </c>
    </row>
    <row r="4">
      <c r="A4" t="inlineStr">
        <is>
          <t>Internet / telefonía</t>
        </is>
      </c>
      <c r="B4" s="3" t="n">
        <v>1500</v>
      </c>
      <c r="C4">
        <f>PARAMETROS!$B$4</f>
        <v/>
      </c>
      <c r="D4">
        <f>B4*C4</f>
        <v/>
      </c>
      <c r="E4" t="inlineStr">
        <is>
          <t>Enlace empresarial simétrico de fibra óptica 500 Mbps con IP fija para pruebas</t>
        </is>
      </c>
    </row>
    <row r="5">
      <c r="A5" t="inlineStr">
        <is>
          <t>Administración y contabilidad</t>
        </is>
      </c>
      <c r="B5" s="3" t="n">
        <v>2500</v>
      </c>
      <c r="C5">
        <f>PARAMETROS!$B$4</f>
        <v/>
      </c>
      <c r="D5">
        <f>B5*C5</f>
        <v/>
      </c>
      <c r="E5" t="inlineStr">
        <is>
          <t>Servicios contables externos, dispersión de nómina y timbrado fiscal ante el SAT</t>
        </is>
      </c>
    </row>
    <row r="6">
      <c r="A6" t="inlineStr">
        <is>
          <t>Herramientas compartidas</t>
        </is>
      </c>
      <c r="B6" s="3" t="n">
        <v>1800</v>
      </c>
      <c r="C6">
        <f>PARAMETROS!$B$4</f>
        <v/>
      </c>
      <c r="D6">
        <f>B6*C6</f>
        <v/>
      </c>
      <c r="E6" t="inlineStr">
        <is>
          <t>Herramientas SaaS de colaboración (Google Workspace, Slack Pro, Notion, Figma)</t>
        </is>
      </c>
    </row>
    <row r="7">
      <c r="A7" t="inlineStr">
        <is>
          <t>Publicidad / ventas</t>
        </is>
      </c>
      <c r="B7" s="3" t="n">
        <v>1000</v>
      </c>
      <c r="C7">
        <f>PARAMETROS!$B$4</f>
        <v/>
      </c>
      <c r="D7">
        <f>B7*C7</f>
        <v/>
      </c>
      <c r="E7" t="inlineStr">
        <is>
          <t>Gestión comercial, demostraciones con el cliente y prospección de cuenta</t>
        </is>
      </c>
    </row>
    <row r="8">
      <c r="A8" t="inlineStr">
        <is>
          <t>Otros gastos fijos</t>
        </is>
      </c>
      <c r="B8" s="3" t="n">
        <v>1000</v>
      </c>
      <c r="C8">
        <f>PARAMETROS!$B$4</f>
        <v/>
      </c>
      <c r="D8">
        <f>B8*C8</f>
        <v/>
      </c>
      <c r="E8" t="inlineStr">
        <is>
          <t>Mantenimiento preventivo, artículos de limpieza, papelería y consumibles de oficina</t>
        </is>
      </c>
    </row>
    <row r="9">
      <c r="A9" t="inlineStr">
        <is>
          <t>TOTAL GASTOS FIJOS</t>
        </is>
      </c>
      <c r="D9">
        <f>SUM(D2:D8)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33" customWidth="1" min="1" max="1"/>
    <col width="20" customWidth="1" min="2" max="2"/>
    <col width="23" customWidth="1" min="3" max="3"/>
    <col width="22" customWidth="1" min="4" max="4"/>
    <col width="23" customWidth="1" min="5" max="5"/>
    <col width="74" customWidth="1" min="6" max="6"/>
  </cols>
  <sheetData>
    <row r="1" ht="35.1" customHeight="1">
      <c r="A1" s="1" t="inlineStr">
        <is>
          <t>Concepto</t>
        </is>
      </c>
      <c r="B1" s="1" t="inlineStr">
        <is>
          <t>Unidad</t>
        </is>
      </c>
      <c r="C1" s="1" t="inlineStr">
        <is>
          <t>Cantidad por proyecto</t>
        </is>
      </c>
      <c r="D1" s="1" t="inlineStr">
        <is>
          <t>Costo unitario</t>
        </is>
      </c>
      <c r="E1" s="1" t="inlineStr">
        <is>
          <t>Costo total</t>
        </is>
      </c>
      <c r="F1" s="1" t="inlineStr">
        <is>
          <t>Notas</t>
        </is>
      </c>
    </row>
    <row r="2">
      <c r="A2" t="inlineStr">
        <is>
          <t>Servicios de nube / hosting</t>
        </is>
      </c>
      <c r="B2" s="3" t="inlineStr">
        <is>
          <t>Meses</t>
        </is>
      </c>
      <c r="C2" s="3" t="n">
        <v>4</v>
      </c>
      <c r="D2" s="3" t="n">
        <v>1800</v>
      </c>
      <c r="E2">
        <f>C2*D2</f>
        <v/>
      </c>
      <c r="F2" t="inlineStr">
        <is>
          <t>Google Cloud Platform: Cloud Run (microservicios), Cloud SQL PostgreSQL, Redis Memorystore</t>
        </is>
      </c>
    </row>
    <row r="3">
      <c r="A3" t="inlineStr">
        <is>
          <t>Licencias del proyecto</t>
        </is>
      </c>
      <c r="B3" s="3" t="inlineStr">
        <is>
          <t>Meses</t>
        </is>
      </c>
      <c r="C3" s="3" t="n">
        <v>4</v>
      </c>
      <c r="D3" s="3" t="n">
        <v>600</v>
      </c>
      <c r="E3">
        <f>C3*D3</f>
        <v/>
      </c>
      <c r="F3" t="inlineStr">
        <is>
          <t>Licencias de repositorios y minutos CI/CD en GitHub Team, y monitoreo Sentry</t>
        </is>
      </c>
    </row>
    <row r="4">
      <c r="A4" t="inlineStr">
        <is>
          <t>APIs de terceros</t>
        </is>
      </c>
      <c r="B4" s="3" t="inlineStr">
        <is>
          <t>Meses</t>
        </is>
      </c>
      <c r="C4" s="3" t="n">
        <v>4</v>
      </c>
      <c r="D4" s="3" t="n">
        <v>550</v>
      </c>
      <c r="E4">
        <f>C4*D4</f>
        <v/>
      </c>
      <c r="F4" t="inlineStr">
        <is>
          <t>Broker de mensajería CloudAMQP RabbitMQ dedicado (Patrón Saga y Dead Letter Queue)</t>
        </is>
      </c>
    </row>
    <row r="5">
      <c r="A5" t="inlineStr">
        <is>
          <t>Dominio / SSL</t>
        </is>
      </c>
      <c r="B5" s="3" t="inlineStr">
        <is>
          <t>Licencia anual</t>
        </is>
      </c>
      <c r="C5" s="3" t="n">
        <v>1</v>
      </c>
      <c r="D5" s="3" t="n">
        <v>950</v>
      </c>
      <c r="E5">
        <f>C5*D5</f>
        <v/>
      </c>
      <c r="F5" t="inlineStr">
        <is>
          <t>Registro de dominio oficial corporativo .com.mx y certificado TLS/SSL Wildcard</t>
        </is>
      </c>
    </row>
    <row r="6">
      <c r="A6" t="inlineStr">
        <is>
          <t>Pruebas / dispositivos</t>
        </is>
      </c>
      <c r="B6" s="3" t="inlineStr">
        <is>
          <t>Dispositivos/Lic</t>
        </is>
      </c>
      <c r="C6" s="3" t="n">
        <v>2</v>
      </c>
      <c r="D6" s="3" t="n">
        <v>1500</v>
      </c>
      <c r="E6">
        <f>C6*D6</f>
        <v/>
      </c>
      <c r="F6" t="inlineStr">
        <is>
          <t>Dispositivos móviles de laboratorio para testing multi-resolución, soporte táctil y escaneo QR</t>
        </is>
      </c>
    </row>
    <row r="7">
      <c r="A7" t="inlineStr">
        <is>
          <t>Subcontratación</t>
        </is>
      </c>
      <c r="B7" s="3" t="inlineStr">
        <is>
          <t>Servicio</t>
        </is>
      </c>
      <c r="C7" s="3" t="n">
        <v>1</v>
      </c>
      <c r="D7" s="3" t="n">
        <v>4500</v>
      </c>
      <c r="E7">
        <f>C7*D7</f>
        <v/>
      </c>
      <c r="F7" t="inlineStr">
        <is>
          <t>Subcontratación de pentesting ético externo y auditoría de pasarela de pago</t>
        </is>
      </c>
    </row>
    <row r="8">
      <c r="A8" t="inlineStr">
        <is>
          <t>Viáticos</t>
        </is>
      </c>
      <c r="B8" s="3" t="inlineStr">
        <is>
          <t>Visitas en sitio</t>
        </is>
      </c>
      <c r="C8" s="3" t="n">
        <v>6</v>
      </c>
      <c r="D8" s="3" t="n">
        <v>500</v>
      </c>
      <c r="E8">
        <f>C8*D8</f>
        <v/>
      </c>
      <c r="F8" t="inlineStr">
        <is>
          <t>Viáticos para visitas de campo a cafetería en La Piedad (instalación física y pruebas en barra)</t>
        </is>
      </c>
    </row>
    <row r="9">
      <c r="A9" t="inlineStr">
        <is>
          <t>Material y consumibles</t>
        </is>
      </c>
      <c r="B9" s="3" t="inlineStr">
        <is>
          <t>Lote</t>
        </is>
      </c>
      <c r="C9" s="3" t="n">
        <v>1</v>
      </c>
      <c r="D9" s="3" t="n">
        <v>850</v>
      </c>
      <c r="E9">
        <f>C9*D9</f>
        <v/>
      </c>
      <c r="F9" t="inlineStr">
        <is>
          <t>Materiales y consumibles (papel térmico 80mm sin BPA, cables de red y USB blindados)</t>
        </is>
      </c>
    </row>
    <row r="10">
      <c r="A10" t="inlineStr">
        <is>
          <t>Seguridad / auditoría</t>
        </is>
      </c>
      <c r="B10" s="3" t="inlineStr">
        <is>
          <t>Servicio</t>
        </is>
      </c>
      <c r="C10" s="3" t="n">
        <v>1</v>
      </c>
      <c r="D10" s="3" t="n">
        <v>1200</v>
      </c>
      <c r="E10">
        <f>C10*D10</f>
        <v/>
      </c>
      <c r="F10" t="inlineStr">
        <is>
          <t>Auditoría de código estático (SAST) y análisis de dependencias OWASP Top 10</t>
        </is>
      </c>
    </row>
    <row r="11">
      <c r="A11" t="inlineStr">
        <is>
          <t>Otros costos directos</t>
        </is>
      </c>
      <c r="B11" s="3" t="inlineStr">
        <is>
          <t>Paquete</t>
        </is>
      </c>
      <c r="C11" s="3" t="n">
        <v>1</v>
      </c>
      <c r="D11" s="3" t="n">
        <v>1500</v>
      </c>
      <c r="E11">
        <f>C11*D11</f>
        <v/>
      </c>
      <c r="F11" t="inlineStr">
        <is>
          <t>Otros: Manuales impresos de mostrador y señalética de lealtad Monchis Rewards</t>
        </is>
      </c>
    </row>
    <row r="12">
      <c r="A12" t="inlineStr">
        <is>
          <t>TOTAL COSTOS DIRECTOS</t>
        </is>
      </c>
      <c r="E12">
        <f>SUM(E2:E11)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E39" sqref="E39"/>
    </sheetView>
  </sheetViews>
  <sheetFormatPr baseColWidth="10" defaultColWidth="9" defaultRowHeight="14.25" outlineLevelCol="0"/>
  <cols>
    <col width="34" customWidth="1" min="1" max="1"/>
    <col width="15" customWidth="1" min="2" max="2"/>
    <col width="22" customWidth="1" min="3" max="3"/>
    <col width="23" customWidth="1" min="4" max="4"/>
    <col width="21" customWidth="1" min="5" max="5"/>
    <col width="25" customWidth="1" min="6" max="6"/>
    <col width="26" customWidth="1" min="7" max="7"/>
  </cols>
  <sheetData>
    <row r="1" ht="35.1" customHeight="1">
      <c r="A1" s="1" t="inlineStr">
        <is>
          <t>Activo / gasto inicial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Importe</t>
        </is>
      </c>
      <c r="E1" s="1" t="inlineStr">
        <is>
          <t>Vida útil (meses)</t>
        </is>
      </c>
      <c r="F1" s="1" t="inlineStr">
        <is>
          <t>Meses asignados al proyecto</t>
        </is>
      </c>
      <c r="G1" s="1" t="inlineStr">
        <is>
          <t>Costo imputado proyecto</t>
        </is>
      </c>
    </row>
    <row r="2">
      <c r="A2" t="inlineStr">
        <is>
          <t>Equipo de cómputo</t>
        </is>
      </c>
      <c r="B2" s="3" t="n">
        <v>4</v>
      </c>
      <c r="C2" s="3" t="n">
        <v>22000</v>
      </c>
      <c r="D2">
        <f>B2*C2</f>
        <v/>
      </c>
      <c r="E2" s="3" t="n">
        <v>36</v>
      </c>
      <c r="F2">
        <f>PARAMETROS!$B$4</f>
        <v/>
      </c>
      <c r="G2">
        <f>IFERROR(D2*MIN(1,F2/E2)*PARAMETROS!$B$16,0)</f>
        <v/>
      </c>
    </row>
    <row r="3">
      <c r="A3" t="inlineStr">
        <is>
          <t>Mobiliario</t>
        </is>
      </c>
      <c r="B3" s="3" t="n">
        <v>4</v>
      </c>
      <c r="C3" s="3" t="n">
        <v>4500</v>
      </c>
      <c r="D3">
        <f>B3*C3</f>
        <v/>
      </c>
      <c r="E3" s="3" t="n">
        <v>60</v>
      </c>
      <c r="F3">
        <f>PARAMETROS!$B$4</f>
        <v/>
      </c>
      <c r="G3">
        <f>IFERROR(D3*MIN(1,F3/E3)*PARAMETROS!$B$16,0)</f>
        <v/>
      </c>
    </row>
    <row r="4">
      <c r="A4" t="inlineStr">
        <is>
          <t>Equipo de red</t>
        </is>
      </c>
      <c r="B4" s="3" t="n">
        <v>1</v>
      </c>
      <c r="C4" s="3" t="n">
        <v>8500</v>
      </c>
      <c r="D4">
        <f>B4*C4</f>
        <v/>
      </c>
      <c r="E4" s="3" t="n">
        <v>36</v>
      </c>
      <c r="F4">
        <f>PARAMETROS!$B$4</f>
        <v/>
      </c>
      <c r="G4">
        <f>IFERROR(D4*MIN(1,F4/E4)*PARAMETROS!$B$16,0)</f>
        <v/>
      </c>
    </row>
    <row r="5">
      <c r="A5" t="inlineStr">
        <is>
          <t>Licencias de instalación</t>
        </is>
      </c>
      <c r="B5" s="3" t="n">
        <v>4</v>
      </c>
      <c r="C5" s="3" t="n">
        <v>3200</v>
      </c>
      <c r="D5">
        <f>B5*C5</f>
        <v/>
      </c>
      <c r="E5" s="3" t="n">
        <v>24</v>
      </c>
      <c r="F5">
        <f>PARAMETROS!$B$4</f>
        <v/>
      </c>
      <c r="G5">
        <f>IFERROR(D5*MIN(1,F5/E5)*PARAMETROS!$B$16,0)</f>
        <v/>
      </c>
    </row>
    <row r="6">
      <c r="A6" t="inlineStr">
        <is>
          <t>Capacitación / puesta en marcha</t>
        </is>
      </c>
      <c r="B6" s="3" t="n">
        <v>1</v>
      </c>
      <c r="C6" s="3" t="n">
        <v>12000</v>
      </c>
      <c r="D6">
        <f>B6*C6</f>
        <v/>
      </c>
      <c r="E6" s="3" t="n">
        <v>12</v>
      </c>
      <c r="F6">
        <f>PARAMETROS!$B$4</f>
        <v/>
      </c>
      <c r="G6">
        <f>IFERROR(D6*MIN(1,F6/E6)*PARAMETROS!$B$16,0)</f>
        <v/>
      </c>
    </row>
    <row r="7">
      <c r="A7" t="inlineStr">
        <is>
          <t>Otro activo</t>
        </is>
      </c>
      <c r="B7" s="3" t="n">
        <v>1</v>
      </c>
      <c r="C7" s="3" t="n">
        <v>9500</v>
      </c>
      <c r="D7">
        <f>B7*C7</f>
        <v/>
      </c>
      <c r="E7" s="3" t="n">
        <v>24</v>
      </c>
      <c r="F7">
        <f>PARAMETROS!$B$4</f>
        <v/>
      </c>
      <c r="G7">
        <f>IFERROR(D7*MIN(1,F7/E7)*PARAMETROS!$B$16,0)</f>
        <v/>
      </c>
    </row>
    <row r="8">
      <c r="A8" t="inlineStr">
        <is>
          <t>TOTALES</t>
        </is>
      </c>
      <c r="D8">
        <f>SUM(D2:D7)</f>
        <v/>
      </c>
      <c r="G8">
        <f>SUM(G2:G7)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B5" sqref="B5"/>
    </sheetView>
  </sheetViews>
  <sheetFormatPr baseColWidth="10" defaultColWidth="9" defaultRowHeight="14.25" outlineLevelCol="0"/>
  <cols>
    <col width="37" customWidth="1" min="1" max="1"/>
    <col width="25" customWidth="1" min="2" max="2"/>
    <col width="82" customWidth="1" min="3" max="3"/>
  </cols>
  <sheetData>
    <row r="1" ht="35.1" customHeight="1">
      <c r="A1" s="1" t="inlineStr">
        <is>
          <t>Concepto</t>
        </is>
      </c>
      <c r="B1" s="1" t="inlineStr">
        <is>
          <t>Importe / factor</t>
        </is>
      </c>
      <c r="C1" s="1" t="inlineStr">
        <is>
          <t>Explicación</t>
        </is>
      </c>
    </row>
    <row r="2">
      <c r="A2" t="inlineStr">
        <is>
          <t>Monto financiado</t>
        </is>
      </c>
      <c r="B2" s="3" t="n">
        <v>40000</v>
      </c>
      <c r="C2" t="inlineStr">
        <is>
          <t>Capturar solo si el proyecto tendrá financiación</t>
        </is>
      </c>
    </row>
    <row r="3">
      <c r="A3" t="inlineStr">
        <is>
          <t>Tasa anual</t>
        </is>
      </c>
      <c r="B3">
        <f>PARAMETROS!B14</f>
        <v/>
      </c>
      <c r="C3" t="inlineStr">
        <is>
          <t>Tasa editable en parámetros</t>
        </is>
      </c>
    </row>
    <row r="4">
      <c r="A4" t="inlineStr">
        <is>
          <t>Meses crédito</t>
        </is>
      </c>
      <c r="B4">
        <f>PARAMETROS!B15</f>
        <v/>
      </c>
      <c r="C4" t="inlineStr">
        <is>
          <t>Plazo editable en parámetros</t>
        </is>
      </c>
    </row>
    <row r="5">
      <c r="A5" t="inlineStr">
        <is>
          <t>Cuota mensual</t>
        </is>
      </c>
      <c r="B5">
        <f>IFERROR(IF(B3=0,B2/B4,PMT(B3/12,B4,-B2)),0)</f>
        <v/>
      </c>
      <c r="C5" t="inlineStr">
        <is>
          <t>Pago mensual a interés compuesto</t>
        </is>
      </c>
    </row>
    <row r="6">
      <c r="A6" t="inlineStr">
        <is>
          <t>Interés aproximado del proyecto</t>
        </is>
      </c>
      <c r="B6">
        <f>IFERROR(MAX(0,(B5*MIN(PARAMETROS!B4,B4))-(B2/B4*MIN(PARAMETROS!B4,B4))),0)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9" defaultRowHeight="14.25" outlineLevelCol="0"/>
  <cols>
    <col width="43" customWidth="1" min="1" max="1"/>
    <col width="28" customWidth="1" min="2" max="2"/>
    <col width="89" customWidth="1" min="3" max="3"/>
  </cols>
  <sheetData>
    <row r="1" ht="35.1" customHeight="1">
      <c r="A1" s="1" t="inlineStr">
        <is>
          <t>Presupuesto del proyecto</t>
        </is>
      </c>
      <c r="B1" s="1" t="inlineStr">
        <is>
          <t>Resultado MXN</t>
        </is>
      </c>
      <c r="C1" s="1" t="inlineStr">
        <is>
          <t>Interpretación</t>
        </is>
      </c>
    </row>
    <row r="2">
      <c r="A2" t="inlineStr">
        <is>
          <t>Proyecto</t>
        </is>
      </c>
      <c r="B2">
        <f>PARAMETROS!B2</f>
        <v/>
      </c>
    </row>
    <row r="3">
      <c r="A3" t="inlineStr">
        <is>
          <t>Duración meses</t>
        </is>
      </c>
      <c r="B3">
        <f>PARAMETROS!B4</f>
        <v/>
      </c>
    </row>
    <row r="4">
      <c r="A4" t="inlineStr">
        <is>
          <t>Unidades / proyectos</t>
        </is>
      </c>
      <c r="B4">
        <f>PARAMETROS!B5</f>
        <v/>
      </c>
    </row>
    <row r="6">
      <c r="A6" t="inlineStr">
        <is>
          <t>Nómina y carga patronal</t>
        </is>
      </c>
      <c r="B6">
        <f>NOMINA!J15*PARAMETROS!B4</f>
        <v/>
      </c>
    </row>
    <row r="7">
      <c r="A7" t="inlineStr">
        <is>
          <t>Gastos fijos</t>
        </is>
      </c>
      <c r="B7">
        <f>'GASTOS FIJOS'!D9</f>
        <v/>
      </c>
    </row>
    <row r="8">
      <c r="A8" t="inlineStr">
        <is>
          <t>Costos directos</t>
        </is>
      </c>
      <c r="B8">
        <f>'COSTOS DIRECTOS'!E12*PARAMETROS!B5</f>
        <v/>
      </c>
    </row>
    <row r="9">
      <c r="A9" t="inlineStr">
        <is>
          <t>Inversión inicial asignada</t>
        </is>
      </c>
      <c r="B9">
        <f>'INVERSION INICIAL'!G8</f>
        <v/>
      </c>
    </row>
    <row r="10">
      <c r="A10" t="inlineStr">
        <is>
          <t>Intereses de financiamiento</t>
        </is>
      </c>
      <c r="B10">
        <f>PRESTAMO!B6</f>
        <v/>
      </c>
    </row>
    <row r="11">
      <c r="A11" t="inlineStr">
        <is>
          <t>COSTO BASE TOTAL</t>
        </is>
      </c>
      <c r="B11">
        <f>SUM(B6:B10)</f>
        <v/>
      </c>
      <c r="C11" t="inlineStr">
        <is>
          <t>Incluye costos empresariales, NO ISR retenido de trabajadores como costo adicional.</t>
        </is>
      </c>
    </row>
    <row r="12">
      <c r="A12" t="inlineStr">
        <is>
          <t>Contingencia</t>
        </is>
      </c>
      <c r="B12">
        <f>B11*PARAMETROS!B8</f>
        <v/>
      </c>
    </row>
    <row r="13">
      <c r="A13" s="6" t="inlineStr">
        <is>
          <t>COSTO TOTAL DEL PROYECTO</t>
        </is>
      </c>
      <c r="B13" s="6">
        <f>SUM(B11:B12)</f>
        <v/>
      </c>
      <c r="C13" s="6" t="n"/>
    </row>
    <row r="14">
      <c r="A14" t="inlineStr">
        <is>
          <t>Costo unitario por proyecto</t>
        </is>
      </c>
      <c r="B14">
        <f>IFERROR(B13/B4,0)</f>
        <v/>
      </c>
    </row>
    <row r="16">
      <c r="A16" t="inlineStr">
        <is>
          <t>Margen sobre precio</t>
        </is>
      </c>
      <c r="B16" s="2">
        <f>PARAMETROS!B6</f>
        <v/>
      </c>
    </row>
    <row r="17">
      <c r="A17" t="inlineStr">
        <is>
          <t>PRECIO DE VENTA SIN IVA / UNIDAD</t>
        </is>
      </c>
      <c r="B17">
        <f>IFERROR(B14/(1-B16),0)</f>
        <v/>
      </c>
      <c r="C17" t="inlineStr">
        <is>
          <t>Precio = costo unitario / (1 - margen). No confundir margen con recargo.</t>
        </is>
      </c>
    </row>
    <row r="18">
      <c r="A18" t="inlineStr">
        <is>
          <t>IVA por unidad</t>
        </is>
      </c>
      <c r="B18">
        <f>B17*PARAMETROS!B7</f>
        <v/>
      </c>
    </row>
    <row r="19">
      <c r="A19" s="6" t="inlineStr">
        <is>
          <t>PRECIO DE VENTA CON IVA / UNIDAD</t>
        </is>
      </c>
      <c r="B19" s="6">
        <f>SUM(B17:B18)</f>
        <v/>
      </c>
      <c r="C19" s="6" t="n"/>
    </row>
    <row r="20">
      <c r="A20" t="inlineStr">
        <is>
          <t>COTIZACIÓN TOTAL SIN IVA</t>
        </is>
      </c>
      <c r="B20">
        <f>B17*B4</f>
        <v/>
      </c>
    </row>
    <row r="21">
      <c r="A21" t="inlineStr">
        <is>
          <t>IVA TOTAL</t>
        </is>
      </c>
      <c r="B21">
        <f>B18*B4</f>
        <v/>
      </c>
    </row>
    <row r="22">
      <c r="A22" s="6" t="inlineStr">
        <is>
          <t>COTIZACIÓN TOTAL CON IVA</t>
        </is>
      </c>
      <c r="B22" s="6">
        <f>B19*B4</f>
        <v/>
      </c>
      <c r="C22" s="6" t="n"/>
    </row>
    <row r="24">
      <c r="A24" t="inlineStr">
        <is>
          <t>Utilidad proyectada (antes ISR empresarial)</t>
        </is>
      </c>
      <c r="B24">
        <f>B20-B13</f>
        <v/>
      </c>
    </row>
    <row r="25">
      <c r="A25" t="inlineStr">
        <is>
          <t>Rentabilidad sobre ventas</t>
        </is>
      </c>
      <c r="B25" s="2">
        <f>IFERROR(B24/B20,0)</f>
        <v/>
      </c>
    </row>
    <row r="26">
      <c r="A26" t="inlineStr">
        <is>
          <t>Punto de equilibrio (unidades)</t>
        </is>
      </c>
      <c r="B26">
        <f>IFERROR(ROUNDUP((B6+B7+B9+B10)/(B17-(B8/B4)-(B12/B4)),0),0)</f>
        <v/>
      </c>
      <c r="C26" t="inlineStr">
        <is>
          <t>Estimación simplificada para proyectos repetibles; no usar como PE contable definitivo.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25" outlineLevelCol="0"/>
  <cols>
    <col width="14" customWidth="1" min="1" max="1"/>
    <col width="115" customWidth="1" min="2" max="2"/>
  </cols>
  <sheetData>
    <row r="1" ht="35.1" customHeight="1">
      <c r="A1" s="1" t="inlineStr">
        <is>
          <t>Paso</t>
        </is>
      </c>
      <c r="B1" s="1" t="inlineStr">
        <is>
          <t>Acción / criterio</t>
        </is>
      </c>
    </row>
    <row r="2">
      <c r="A2" t="inlineStr">
        <is>
          <t>1</t>
        </is>
      </c>
      <c r="B2" t="inlineStr">
        <is>
          <t>Captura datos únicamente en celdas amarillas de PARAMETROS, NOMINA, GASTOS FIJOS, COSTOS DIRECTOS, INVERSION INICIAL y PRESTAMO.</t>
        </is>
      </c>
    </row>
    <row r="3">
      <c r="A3" t="inlineStr">
        <is>
          <t>2</t>
        </is>
      </c>
      <c r="B3" t="inlineStr">
        <is>
          <t>En NOMINA escribe sueldo mensual BRUTO por persona y número de personas. La retención de ISR se consulta automáticamente en tabla 2026.</t>
        </is>
      </c>
    </row>
    <row r="4">
      <c r="A4" t="inlineStr">
        <is>
          <t>3</t>
        </is>
      </c>
      <c r="B4" t="inlineStr">
        <is>
          <t>Duración y número de proyectos controlan los importes acumulados. Evita duplicar equipos de cómputo como gasto directo y como inversión.</t>
        </is>
      </c>
    </row>
    <row r="5">
      <c r="A5" t="inlineStr">
        <is>
          <t>4</t>
        </is>
      </c>
      <c r="B5" t="inlineStr">
        <is>
          <t>En INVERSION INICIAL captura vida útil en meses: el sistema distribuye el gasto según duración del proyecto.</t>
        </is>
      </c>
    </row>
    <row r="6">
      <c r="A6" t="inlineStr">
        <is>
          <t>5</t>
        </is>
      </c>
      <c r="B6" t="inlineStr">
        <is>
          <t>El precio se calcula aplicando margen comercial antes de IVA. ISR retenido a empleados NO es ISR de la empresa.</t>
        </is>
      </c>
    </row>
    <row r="7">
      <c r="A7" t="inlineStr">
        <is>
          <t>6</t>
        </is>
      </c>
      <c r="B7" t="inlineStr">
        <is>
          <t>El costo patronal se aproxima con una tasa editable; verificar caso real (SBC, IMSS, INFONAVIT, impuesto nómina, prestaciones).</t>
        </is>
      </c>
    </row>
    <row r="8">
      <c r="A8" t="inlineStr">
        <is>
          <t>7</t>
        </is>
      </c>
      <c r="B8" t="inlineStr">
        <is>
          <t>El subsidio al empleo corresponde a la regla general desde febrero de 2026; enero requiere tratamiento específico.</t>
        </is>
      </c>
    </row>
    <row r="9">
      <c r="A9" t="inlineStr">
        <is>
          <t>8</t>
        </is>
      </c>
      <c r="B9" t="inlineStr">
        <is>
          <t>Resultados y cotización final en RESUMEN Y COTIZACION. Todos los importes en pesos mexicanos.</t>
        </is>
      </c>
    </row>
    <row r="10">
      <c r="A10" t="inlineStr">
        <is>
          <t>FUENTE ISR</t>
        </is>
      </c>
      <c r="B10" t="inlineStr">
        <is>
          <t>https://sidof.segob.gob.mx/notas/docFuente/5777219</t>
        </is>
      </c>
    </row>
    <row r="11">
      <c r="A11" t="inlineStr">
        <is>
          <t>FUENTE UMA</t>
        </is>
      </c>
      <c r="B11" t="inlineStr">
        <is>
          <t>https://www.inegi.org.mx/temas/uma/</t>
        </is>
      </c>
    </row>
    <row r="12">
      <c r="A12" t="inlineStr">
        <is>
          <t>SUBSIDIO</t>
        </is>
      </c>
      <c r="B12" t="inlineStr">
        <is>
          <t>https://sidof.segob.gob.mx/notas/docFuente/5777649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5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0" customWidth="1" min="2" max="2"/>
    <col width="16" customWidth="1" min="3" max="3"/>
    <col width="24" customWidth="1" min="4" max="4"/>
    <col width="16" customWidth="1" min="5" max="5"/>
    <col width="22" customWidth="1" min="6" max="6"/>
    <col width="46" customWidth="1" min="7" max="7"/>
    <col width="4" customWidth="1" min="8" max="8"/>
  </cols>
  <sheetData>
    <row r="2" ht="26" customHeight="1">
      <c r="B2" s="73" t="inlineStr">
        <is>
          <t>MONCHIS CAFÉ — ESTRATEGIA COMERCIAL DE VENTA Y JUSTIFICACIÓN FINANCIERA</t>
        </is>
      </c>
      <c r="C2" s="74" t="n"/>
      <c r="D2" s="74" t="n"/>
      <c r="E2" s="74" t="n"/>
      <c r="F2" s="74" t="n"/>
      <c r="G2" s="74" t="n"/>
    </row>
    <row r="3" ht="18" customHeight="1">
      <c r="B3" s="75" t="inlineStr">
        <is>
          <t>Actividad 4: Gestión de Finanzas | Proyecto Integrador de Desarrollo de Software</t>
        </is>
      </c>
      <c r="C3" s="74" t="n"/>
      <c r="D3" s="74" t="n"/>
      <c r="E3" s="74" t="n"/>
      <c r="F3" s="74" t="n"/>
      <c r="G3" s="74" t="n"/>
    </row>
    <row r="5" ht="20" customHeight="1">
      <c r="B5" s="76" t="inlineStr">
        <is>
          <t>Proyecto Integrador:</t>
        </is>
      </c>
      <c r="C5" s="77" t="inlineStr">
        <is>
          <t>Monchis Café — Plataforma Web y POS Seguro para Cafetería Orgánica</t>
        </is>
      </c>
      <c r="D5" s="78" t="n"/>
      <c r="E5" s="76" t="inlineStr">
        <is>
          <t>Docente:</t>
        </is>
      </c>
      <c r="F5" s="77" t="inlineStr">
        <is>
          <t>Dr. Gabriel Navarro Salcedo</t>
        </is>
      </c>
      <c r="G5" s="78" t="n"/>
    </row>
    <row r="6" ht="20" customHeight="1">
      <c r="B6" s="76" t="inlineStr">
        <is>
          <t>Estudiante:</t>
        </is>
      </c>
      <c r="C6" s="77" t="inlineStr">
        <is>
          <t>Ernesto Hatuey Fierro Meléndez (Código: 215487963)</t>
        </is>
      </c>
      <c r="D6" s="78" t="n"/>
      <c r="E6" s="76" t="inlineStr">
        <is>
          <t>Asignatura:</t>
        </is>
      </c>
      <c r="F6" s="77" t="inlineStr">
        <is>
          <t>Proyecto Integrador / Gestión de Finanzas</t>
        </is>
      </c>
      <c r="G6" s="78" t="n"/>
    </row>
    <row r="7" ht="20" customHeight="1">
      <c r="B7" s="76" t="inlineStr">
        <is>
          <t>Empresa Desarrolladora:</t>
        </is>
      </c>
      <c r="C7" s="77" t="inlineStr">
        <is>
          <t>Soluciones Digitales Fierro &amp; Asociados S.A.S. de C.V.</t>
        </is>
      </c>
      <c r="D7" s="78" t="n"/>
      <c r="E7" s="76" t="inlineStr">
        <is>
          <t>Fecha de Entrega:</t>
        </is>
      </c>
      <c r="F7" s="77" t="inlineStr">
        <is>
          <t>24 de Octubre de 2026</t>
        </is>
      </c>
      <c r="G7" s="78" t="n"/>
    </row>
    <row r="9" ht="24" customHeight="1">
      <c r="B9" s="79" t="inlineStr">
        <is>
          <t>1. RESUMEN EJECUTIVO DE COSTOS, PRECIO Y RESULTADOS FINANCIEROS</t>
        </is>
      </c>
      <c r="C9" s="80" t="n"/>
      <c r="D9" s="80" t="n"/>
      <c r="E9" s="80" t="n"/>
      <c r="F9" s="80" t="n"/>
      <c r="G9" s="80" t="n"/>
    </row>
    <row r="10" ht="22" customHeight="1">
      <c r="B10" s="81" t="inlineStr">
        <is>
          <t>Indicador Financiero Clave</t>
        </is>
      </c>
      <c r="C10" s="82" t="inlineStr">
        <is>
          <t>Valor (MXN)</t>
        </is>
      </c>
      <c r="D10" s="82" t="inlineStr">
        <is>
          <t>Referencia Celda</t>
        </is>
      </c>
      <c r="E10" s="82" t="inlineStr">
        <is>
          <t>% s/ Venta</t>
        </is>
      </c>
      <c r="F10" s="81" t="inlineStr">
        <is>
          <t>Interpretación Financiera</t>
        </is>
      </c>
      <c r="G10" s="81" t="inlineStr">
        <is>
          <t>Relevancia Operativa en el Proyecto</t>
        </is>
      </c>
    </row>
    <row r="11" ht="20" customHeight="1">
      <c r="B11" s="77" t="inlineStr">
        <is>
          <t>Costo Base Total (CTB)</t>
        </is>
      </c>
      <c r="C11" s="83">
        <f>'RESUMEN Y COTIZACION'!B11</f>
        <v/>
      </c>
      <c r="D11" s="84" t="inlineStr">
        <is>
          <t>'RESUMEN Y COTIZACION'!B11</t>
        </is>
      </c>
      <c r="E11" s="85">
        <f>C11/'RESUMEN Y COTIZACION'!$B$20</f>
        <v/>
      </c>
      <c r="F11" s="86" t="inlineStr">
        <is>
          <t>Costo directo e indirecto acumulado.</t>
        </is>
      </c>
      <c r="G11" s="86" t="inlineStr">
        <is>
          <t>Nómina con 30% patronal, gastos fijos, nube, depreciación e intereses.</t>
        </is>
      </c>
    </row>
    <row r="12" ht="20" customHeight="1">
      <c r="B12" s="77" t="inlineStr">
        <is>
          <t>Fondo de Contingencia (10%)</t>
        </is>
      </c>
      <c r="C12" s="83">
        <f>'RESUMEN Y COTIZACION'!B12</f>
        <v/>
      </c>
      <c r="D12" s="84" t="inlineStr">
        <is>
          <t>'RESUMEN Y COTIZACION'!B12</t>
        </is>
      </c>
      <c r="E12" s="85">
        <f>C12/'RESUMEN Y COTIZACION'!$B$20</f>
        <v/>
      </c>
      <c r="F12" s="86" t="inlineStr">
        <is>
          <t>Reserva para mitigación de riesgos.</t>
        </is>
      </c>
      <c r="G12" s="86" t="inlineStr">
        <is>
          <t>Amortigua variaciones cambiarias en servicios cloud y ajustes técnicos menores.</t>
        </is>
      </c>
    </row>
    <row r="13" ht="20" customHeight="1">
      <c r="B13" s="76" t="inlineStr">
        <is>
          <t>COSTO TOTAL DEL PROYECTO (CTP)</t>
        </is>
      </c>
      <c r="C13" s="87">
        <f>'RESUMEN Y COTIZACION'!B13</f>
        <v/>
      </c>
      <c r="D13" s="88" t="inlineStr">
        <is>
          <t>'RESUMEN Y COTIZACION'!B13</t>
        </is>
      </c>
      <c r="E13" s="89">
        <f>C13/'RESUMEN Y COTIZACION'!$B$20</f>
        <v/>
      </c>
      <c r="F13" s="90" t="inlineStr">
        <is>
          <t>Inversión neta para producir la solución.</t>
        </is>
      </c>
      <c r="G13" s="90" t="inlineStr">
        <is>
          <t>Inversión indispensable para cubrir los 8 sprints de desarrollo y pruebas.</t>
        </is>
      </c>
    </row>
    <row r="14" ht="20" customHeight="1">
      <c r="B14" s="77" t="inlineStr">
        <is>
          <t>Margen de Utilidad sobre Ventas</t>
        </is>
      </c>
      <c r="C14" s="85">
        <f>'RESUMEN Y COTIZACION'!B16</f>
        <v/>
      </c>
      <c r="D14" s="84" t="inlineStr">
        <is>
          <t>'RESUMEN Y COTIZACION'!B16</t>
        </is>
      </c>
      <c r="E14" s="85">
        <f>C14</f>
        <v/>
      </c>
      <c r="F14" s="86" t="inlineStr">
        <is>
          <t>Margen sobre precio fijado en 30.0%.</t>
        </is>
      </c>
      <c r="G14" s="86" t="inlineStr">
        <is>
          <t>Margen comercial sobre el precio facturado sin IVA, preservando rentabilidad.</t>
        </is>
      </c>
    </row>
    <row r="15" ht="20" customHeight="1">
      <c r="B15" s="76" t="inlineStr">
        <is>
          <t>PRECIO DE VENTA SIN IVA (COTIZACIÓN)</t>
        </is>
      </c>
      <c r="C15" s="87">
        <f>'RESUMEN Y COTIZACION'!B17</f>
        <v/>
      </c>
      <c r="D15" s="88" t="inlineStr">
        <is>
          <t>'RESUMEN Y COTIZACION'!B17</t>
        </is>
      </c>
      <c r="E15" s="89">
        <f>C15/'RESUMEN Y COTIZACION'!$B$20</f>
        <v/>
      </c>
      <c r="F15" s="90" t="inlineStr">
        <is>
          <t>Precio comercial: CTP / (1 - Margen).</t>
        </is>
      </c>
      <c r="G15" s="90" t="inlineStr">
        <is>
          <t>Cotización base de la solución completa llave en mano con entrega en la nube.</t>
        </is>
      </c>
    </row>
    <row r="16" ht="20" customHeight="1">
      <c r="B16" s="77" t="inlineStr">
        <is>
          <t>IVA Trasladado (16%)</t>
        </is>
      </c>
      <c r="C16" s="83">
        <f>'RESUMEN Y COTIZACION'!B18</f>
        <v/>
      </c>
      <c r="D16" s="84" t="inlineStr">
        <is>
          <t>'RESUMEN Y COTIZACION'!B18</t>
        </is>
      </c>
      <c r="E16" s="85">
        <f>C16/'RESUMEN Y COTIZACION'!$B$20</f>
        <v/>
      </c>
      <c r="F16" s="86" t="inlineStr">
        <is>
          <t>Impuesto fiscal acreditable por ley.</t>
        </is>
      </c>
      <c r="G16" s="86" t="inlineStr">
        <is>
          <t>Impuesto trasladado; acreditable para el cliente contra sus débitos de IVA.</t>
        </is>
      </c>
    </row>
    <row r="17" ht="20" customHeight="1">
      <c r="B17" s="77" t="inlineStr">
        <is>
          <t>PRECIO TOTAL FACTURADO CON IVA</t>
        </is>
      </c>
      <c r="C17" s="83">
        <f>'RESUMEN Y COTIZACION'!B19</f>
        <v/>
      </c>
      <c r="D17" s="84" t="inlineStr">
        <is>
          <t>'RESUMEN Y COTIZACION'!B19</t>
        </is>
      </c>
      <c r="E17" s="85">
        <f>C17/'RESUMEN Y COTIZACION'!$B$20</f>
        <v/>
      </c>
      <c r="F17" s="86" t="inlineStr">
        <is>
          <t>Importe contractual total formalizado.</t>
        </is>
      </c>
      <c r="G17" s="86" t="inlineStr">
        <is>
          <t>Monto formal facturado suscrito en el contrato de prestación de servicios.</t>
        </is>
      </c>
    </row>
    <row r="18" ht="20" customHeight="1">
      <c r="B18" s="91" t="inlineStr">
        <is>
          <t>UTILIDAD ANTES DE ISR (PROYECTADA)</t>
        </is>
      </c>
      <c r="C18" s="92">
        <f>'RESUMEN Y COTIZACION'!B24</f>
        <v/>
      </c>
      <c r="D18" s="93" t="inlineStr">
        <is>
          <t>'RESUMEN Y COTIZACION'!B24</t>
        </is>
      </c>
      <c r="E18" s="94">
        <f>C18/'RESUMEN Y COTIZACION'!$B$20</f>
        <v/>
      </c>
      <c r="F18" s="95" t="inlineStr">
        <is>
          <t>Ganancia de la empresa antes de ISR.</t>
        </is>
      </c>
      <c r="G18" s="95" t="inlineStr">
        <is>
          <t>Utilidad comercial antes del impuesto corporativo para reinversión y reservas.</t>
        </is>
      </c>
    </row>
    <row r="19" ht="20" customHeight="1">
      <c r="B19" s="77" t="inlineStr">
        <is>
          <t>ISR Corporativo Estimado (30%)</t>
        </is>
      </c>
      <c r="C19" s="83">
        <f>C18*0.30</f>
        <v/>
      </c>
      <c r="D19" s="84" t="inlineStr">
        <is>
          <t>C18 * 30%</t>
        </is>
      </c>
      <c r="E19" s="85">
        <f>C19/'RESUMEN Y COTIZACION'!$B$20</f>
        <v/>
      </c>
      <c r="F19" s="86" t="inlineStr">
        <is>
          <t>Estimación de ISR según LISR (30%).</t>
        </is>
      </c>
      <c r="G19" s="86" t="inlineStr">
        <is>
          <t>Provisión del impuesto corporativo sobre la utilidad generada por el contrato.</t>
        </is>
      </c>
    </row>
    <row r="20" ht="20" customHeight="1">
      <c r="B20" s="91" t="inlineStr">
        <is>
          <t>UTILIDAD ESTIMADA DESPUÉS DE ISR</t>
        </is>
      </c>
      <c r="C20" s="92">
        <f>C18-C19</f>
        <v/>
      </c>
      <c r="D20" s="93" t="inlineStr">
        <is>
          <t>C18 - C19</t>
        </is>
      </c>
      <c r="E20" s="94">
        <f>C20/'RESUMEN Y COTIZACION'!$B$20</f>
        <v/>
      </c>
      <c r="F20" s="95" t="inlineStr">
        <is>
          <t>Beneficio neto disponible (21.0%).</t>
        </is>
      </c>
      <c r="G20" s="95" t="inlineStr">
        <is>
          <t>Utilidad neta final de la empresa desarrolladora tras obligaciones fiscales.</t>
        </is>
      </c>
    </row>
    <row r="21" ht="20" customHeight="1">
      <c r="B21" s="77" t="inlineStr">
        <is>
          <t>Punto de Equilibrio (Soluciones)</t>
        </is>
      </c>
      <c r="C21" s="96">
        <f>'RESUMEN Y COTIZACION'!B26</f>
        <v/>
      </c>
      <c r="D21" s="84" t="inlineStr">
        <is>
          <t>'RESUMEN Y COTIZACION'!B26</t>
        </is>
      </c>
      <c r="E21" s="97" t="inlineStr">
        <is>
          <t>N/A</t>
        </is>
      </c>
      <c r="F21" s="86" t="inlineStr">
        <is>
          <t>1 proyecto único llave en mano.</t>
        </is>
      </c>
      <c r="G21" s="86" t="inlineStr">
        <is>
          <t>La comercialización del sistema al cliente cubre la estructura de costos.</t>
        </is>
      </c>
    </row>
    <row r="22" ht="20" customHeight="1">
      <c r="B22" s="77" t="inlineStr">
        <is>
          <t>Punto de Equilibrio en Pesos</t>
        </is>
      </c>
      <c r="C22" s="83">
        <f>ROUND(('RESUMEN Y COTIZACION'!B6+'RESUMEN Y COTIZACION'!B7+'RESUMEN Y COTIZACION'!B9+'RESUMEN Y COTIZACION'!B10)/(('RESUMEN Y COTIZACION'!B17-('RESUMEN Y COTIZACION'!B8+'RESUMEN Y COTIZACION'!B12))/'RESUMEN Y COTIZACION'!B17), 2)</f>
        <v/>
      </c>
      <c r="D22" s="84" t="inlineStr">
        <is>
          <t>Fijos / Razón Margen Contribución</t>
        </is>
      </c>
      <c r="E22" s="85">
        <f>C22/'RESUMEN Y COTIZACION'!$B$17</f>
        <v/>
      </c>
      <c r="F22" s="86" t="inlineStr">
        <is>
          <t>Facturación mínima de cobertura.</t>
        </is>
      </c>
      <c r="G22" s="86" t="inlineStr">
        <is>
          <t>Ingreso sin IVA necesario para cubrir la totalidad de costos fijos y variables.</t>
        </is>
      </c>
    </row>
    <row r="23" ht="20" customHeight="1">
      <c r="B23" s="77" t="inlineStr">
        <is>
          <t>Margen de Seguridad Comercial</t>
        </is>
      </c>
      <c r="C23" s="85">
        <f>ROUND(('RESUMEN Y COTIZACION'!B17-C22)/'RESUMEN Y COTIZACION'!B17, 4)</f>
        <v/>
      </c>
      <c r="D23" s="84" t="inlineStr">
        <is>
          <t>(Precio - PE) / Precio</t>
        </is>
      </c>
      <c r="E23" s="85">
        <f>C23</f>
        <v/>
      </c>
      <c r="F23" s="86" t="inlineStr">
        <is>
          <t>Holgura frente a variaciones (33.1%).</t>
        </is>
      </c>
      <c r="G23" s="86" t="inlineStr">
        <is>
          <t>Porcentaje en que puede reducirse la facturación antes de incurrir en pérdidas.</t>
        </is>
      </c>
    </row>
    <row r="25" ht="24" customHeight="1">
      <c r="B25" s="79" t="inlineStr">
        <is>
          <t>2. CUADRO JUSTIFICATIVO DE PERTINENCIA DE COSTOS DEL PROYECTO</t>
        </is>
      </c>
      <c r="C25" s="80" t="n"/>
      <c r="D25" s="80" t="n"/>
      <c r="E25" s="80" t="n"/>
      <c r="F25" s="80" t="n"/>
      <c r="G25" s="80" t="n"/>
    </row>
    <row r="26" ht="22" customHeight="1">
      <c r="B26" s="81" t="inlineStr">
        <is>
          <t>Rubro Presupuestal</t>
        </is>
      </c>
      <c r="C26" s="82" t="inlineStr">
        <is>
          <t>Importe (MXN)</t>
        </is>
      </c>
      <c r="D26" s="82" t="inlineStr">
        <is>
          <t>% s/ CTP</t>
        </is>
      </c>
      <c r="E26" s="82" t="inlineStr">
        <is>
          <t>Clasificación</t>
        </is>
      </c>
      <c r="F26" s="81" t="inlineStr">
        <is>
          <t>Criterio Técnico y Justificación Operativa</t>
        </is>
      </c>
      <c r="G26" s="81" t="inlineStr">
        <is>
          <t>Impacto en Calidad y Mitigación de Riesgos</t>
        </is>
      </c>
    </row>
    <row r="27" ht="42" customHeight="1">
      <c r="B27" s="77" t="inlineStr">
        <is>
          <t>Nómina y Carga Patronal (4 meses)</t>
        </is>
      </c>
      <c r="C27" s="83">
        <f>'RESUMEN Y COTIZACION'!B6</f>
        <v/>
      </c>
      <c r="D27" s="85">
        <f>C27/'RESUMEN Y COTIZACION'!$B$13</f>
        <v/>
      </c>
      <c r="E27" s="97" t="inlineStr">
        <is>
          <t>Mano de Obra Directa</t>
        </is>
      </c>
      <c r="F27" s="86" t="inlineStr">
        <is>
          <t>4 perfiles de ingeniería: Líder/Scrum Master &amp; DevOps ($36k), Frontend Vue 3 ($20k), Backend Node.js ($20k) y QA Ciberseguridad ($13.5k). Sueldos brutos de $89.5k/mes más estimación del 30% de carga patronal (IMSS, Infonavit 5%, ISN 3%).</t>
        </is>
      </c>
      <c r="G27" s="86" t="inlineStr">
        <is>
          <t>Permite la ejecución de 8 sprints bajo TDD (&gt;80% cobertura) y reduce el riesgo de rotación técnica mediante compensaciones acordes al sector TI en la región.</t>
        </is>
      </c>
    </row>
    <row r="28" ht="42" customHeight="1">
      <c r="B28" s="77" t="inlineStr">
        <is>
          <t>Gastos Fijos Operativos Imputados</t>
        </is>
      </c>
      <c r="C28" s="83">
        <f>'RESUMEN Y COTIZACION'!B7</f>
        <v/>
      </c>
      <c r="D28" s="85">
        <f>C28/'RESUMEN Y COTIZACION'!$B$13</f>
        <v/>
      </c>
      <c r="E28" s="97" t="inlineStr">
        <is>
          <t>Costo Indirecto Fijo</t>
        </is>
      </c>
      <c r="F28" s="86" t="inlineStr">
        <is>
          <t>Espacio coworking ($6k/mes), energía ($1.2k), fibra simétrica con IP fija ($1.5k), despacho contable ($2.5k), herramientas SaaS de colaboración ($1.8k), gestión comercial ($1k) y suministros ($1k), imputados al 100% en los 4 meses ($15k/mes).</t>
        </is>
      </c>
      <c r="G28" s="86" t="inlineStr">
        <is>
          <t>Provee infraestructura física, conectividad estable para CI/CD, soporte fiscal para timbrado CFDI 4.0 y herramientas de trabajo colaborativo.</t>
        </is>
      </c>
    </row>
    <row r="29" ht="42" customHeight="1">
      <c r="B29" s="77" t="inlineStr">
        <is>
          <t>Costos Directos del Proyecto (10 rubros)</t>
        </is>
      </c>
      <c r="C29" s="83">
        <f>'RESUMEN Y COTIZACION'!B8</f>
        <v/>
      </c>
      <c r="D29" s="85">
        <f>C29/'RESUMEN Y COTIZACION'!$B$13</f>
        <v/>
      </c>
      <c r="E29" s="97" t="inlineStr">
        <is>
          <t>Costo Directo Variable</t>
        </is>
      </c>
      <c r="F29" s="86" t="inlineStr">
        <is>
          <t>GCP Cloud Run/SQL/Redis ($7.2k), GitHub/Sentry ($2.4k), CloudAMQP RabbitMQ ($2.2k), dominio/SSL ($950), dispositivos de prueba ($3k), pentesting externo ($4.5k), viáticos en La Piedad ($3k), papel térmico/cables ($850), SAST OWASP ($1.2k) y otros ($1.5k).</t>
        </is>
      </c>
      <c r="G29" s="86" t="inlineStr">
        <is>
          <t>Sustenta la arquitectura orientada a eventos con RabbitMQ y Patrón Saga, asegura el cumplimiento de seguridad en pagos y valida los periféricos en el mostrador físico.</t>
        </is>
      </c>
    </row>
    <row r="30" ht="42" customHeight="1">
      <c r="B30" s="77" t="inlineStr">
        <is>
          <t>Inversión Inicial Asignada (Depreciación)</t>
        </is>
      </c>
      <c r="C30" s="83">
        <f>'RESUMEN Y COTIZACION'!B9</f>
        <v/>
      </c>
      <c r="D30" s="85">
        <f>C30/'RESUMEN Y COTIZACION'!$B$13</f>
        <v/>
      </c>
      <c r="E30" s="97" t="inlineStr">
        <is>
          <t>Depreciación de Activos</t>
        </is>
      </c>
      <c r="F30" s="86" t="inlineStr">
        <is>
          <t>Depreciación en 4 meses según vida útil fiscal: 4 laptops (36 meses), mobiliario (60 meses), red gigabit (36 meses), licencias IDEs (24 meses), capacitación RabbitMQ (12 meses) y kit POS de mostrador (24 meses) ($19,638.89 de $148.8k adquiridos).</t>
        </is>
      </c>
      <c r="G30" s="86" t="inlineStr">
        <is>
          <t>Aplica el principio contable de devengo: el contrato absorbe únicamente el desgaste proporcional de los bienes durante el tiempo de ejecución del proyecto.</t>
        </is>
      </c>
    </row>
    <row r="31" ht="42" customHeight="1">
      <c r="B31" s="77" t="inlineStr">
        <is>
          <t>Intereses por Financiamiento Puente</t>
        </is>
      </c>
      <c r="C31" s="83">
        <f>'RESUMEN Y COTIZACION'!B10</f>
        <v/>
      </c>
      <c r="D31" s="85">
        <f>C31/'RESUMEN Y COTIZACION'!$B$13</f>
        <v/>
      </c>
      <c r="E31" s="97" t="inlineStr">
        <is>
          <t>Costo Financiero</t>
        </is>
      </c>
      <c r="F31" s="86" t="inlineStr">
        <is>
          <t>Crédito de capital de trabajo por $40,000.00 MXN al 18% anual a 24 meses. Se imputa el interés promedio lineal prorrateado a 4 meses ($1,321.19 MXN). Permite anticipar la adquisición de activos y absorber desfases en el cobro del anticipo.</t>
        </is>
      </c>
      <c r="G31" s="86" t="inlineStr">
        <is>
          <t>Evita retrasos operativos en el arranque derivados de demoras bancarias o administrativas en la recepción de la primera transferencia del cliente.</t>
        </is>
      </c>
    </row>
    <row r="32" ht="42" customHeight="1">
      <c r="B32" s="77" t="inlineStr">
        <is>
          <t>Fondo de Contingencia y Riesgos (10%)</t>
        </is>
      </c>
      <c r="C32" s="83">
        <f>'RESUMEN Y COTIZACION'!B12</f>
        <v/>
      </c>
      <c r="D32" s="85">
        <f>C32/'RESUMEN Y COTIZACION'!$B$13</f>
        <v/>
      </c>
      <c r="E32" s="97" t="inlineStr">
        <is>
          <t>Gestión de Riesgos</t>
        </is>
      </c>
      <c r="F32" s="86" t="inlineStr">
        <is>
          <t>Reserva estratégica del 10% sobre el costo base ($57,316.01 MXN), asignada para mitigar fluctuaciones en tarifas de cómputo en la nube en USD, variaciones cambiarias y ajustes técnicos no previstos.</t>
        </is>
      </c>
      <c r="G32" s="86" t="inlineStr">
        <is>
          <t>Absorbe desviaciones operativas y constituye el único colchón financiero ante la ausencia de roles dedicados de DevOps, DBA o UX en el equipo.</t>
        </is>
      </c>
    </row>
    <row r="33" ht="22" customHeight="1">
      <c r="B33" s="98" t="inlineStr">
        <is>
          <t>TOTAL COSTO DEL PROYECTO (CTP)</t>
        </is>
      </c>
      <c r="C33" s="99">
        <f>'RESUMEN Y COTIZACION'!B13</f>
        <v/>
      </c>
      <c r="D33" s="100">
        <f>C33/'RESUMEN Y COTIZACION'!$B$13</f>
        <v/>
      </c>
      <c r="E33" s="101" t="inlineStr">
        <is>
          <t>Costo Total Integral</t>
        </is>
      </c>
      <c r="F33" s="102" t="inlineStr">
        <is>
          <t>Inversión total requerida por la empresa desarrolladora para diseñar, programar, probar y desplegar en producción la plataforma web y POS Monchis Café.</t>
        </is>
      </c>
      <c r="G33" s="102" t="inlineStr">
        <is>
          <t>Sustenta una cotización estructurada y competitiva, respaldada en costos reales de ingeniería de software.</t>
        </is>
      </c>
    </row>
    <row r="35" ht="24" customHeight="1">
      <c r="B35" s="79" t="inlineStr">
        <is>
          <t>3. ESTRATEGIA DE VENTA COMERCIAL SEGÚN COSTO Y UTILIDAD</t>
        </is>
      </c>
      <c r="C35" s="80" t="n"/>
      <c r="D35" s="80" t="n"/>
      <c r="E35" s="80" t="n"/>
      <c r="F35" s="80" t="n"/>
      <c r="G35" s="80" t="n"/>
    </row>
    <row r="36" ht="22" customHeight="1">
      <c r="B36" s="103" t="inlineStr">
        <is>
          <t>A. MODELO DE FIJACIÓN DE PRECIOS POR MARGEN SOBRE VENTAS</t>
        </is>
      </c>
      <c r="C36" s="104" t="n"/>
      <c r="D36" s="104" t="n"/>
      <c r="E36" s="104" t="n"/>
      <c r="F36" s="104" t="n"/>
      <c r="G36" s="104" t="n"/>
    </row>
    <row r="37" ht="68" customHeight="1">
      <c r="B37" s="105" t="inlineStr">
        <is>
          <t>Se determinó el precio mediante margen comercial sobre ventas antes de impuestos:
• Fórmula de Fijación: Precio de Venta = CTP / (1 - Margen) = $630,476.09 / (1 - 0.30) = $900,680.12 MXN sin IVA ($1,044,788.94 MXN con IVA).
• Margen vs Recargo (Markup): La fórmula de margen asegura que la utilidad antes de ISR ($270,204.04 MXN) represente con exactitud el 30.0% del precio comercial facturado antes de impuestos, a diferencia de un recargo simple que reduce la rentabilidad al 23.1%.
• Posicionamiento Comercial: Se posiciona como una solución de software a medida, desacoplada mediante eventos RabbitMQ y trazabilidad ODS 12, superando las limitaciones de los sistemas POS genéricos de caja.</t>
        </is>
      </c>
      <c r="C37" s="78" t="n"/>
      <c r="D37" s="78" t="n"/>
      <c r="E37" s="78" t="n"/>
      <c r="F37" s="78" t="n"/>
      <c r="G37" s="78" t="n"/>
    </row>
    <row r="39" ht="22" customHeight="1">
      <c r="B39" s="103" t="inlineStr">
        <is>
          <t>B. MODELO DE MONETIZACIÓN HÍBRIDO (IMPLEMENTACIÓN + INGRESOS RECURRENTES)</t>
        </is>
      </c>
      <c r="C39" s="104" t="n"/>
      <c r="D39" s="104" t="n"/>
      <c r="E39" s="104" t="n"/>
      <c r="F39" s="104" t="n"/>
      <c r="G39" s="104" t="n"/>
    </row>
    <row r="40" ht="119" customHeight="1">
      <c r="B40" s="105" t="inlineStr">
        <is>
          <t>1. Venta Inicial Llave en Mano ($900,680.12 MXN + IVA): Licenciamiento perpetuo de la obra de software sobre infraestructura propia del cliente en Google Cloud Platform, configuración de microservicios, migración de catálogos y capacitación presencial a baristas y cajeros.
2. Póliza de Soporte, Mantenimiento Evolutivo y SLA ($18,500.00 MXN + IVA/mes a partir del Mes 5):
    - Disponibilidad del 99.5% con monitoreo de microservicios y Dead Letter Queue (DLQ).
    - Ventana de respuesta a incidentes críticos menor a 2 horas durante horario de servicio de la cafetería.
    - Actualizaciones menores de dependencias, parches de seguridad y optimizaciones SEO continuas.
    - Margen operativo de la póliza: 55%, generando un ingreso recurrente anual (ARR) de $222,000.00 MXN.
3. Módulo de Franquicias / Nuevas Sucursales: Cuota de licenciamiento de $45,000.00 MXN por nueva tienda más $3,500.00 MXN/mes de soporte y mantenimiento por sucursal, escalando con el crecimiento del cliente.</t>
        </is>
      </c>
      <c r="C40" s="78" t="n"/>
      <c r="D40" s="78" t="n"/>
      <c r="E40" s="78" t="n"/>
      <c r="F40" s="78" t="n"/>
      <c r="G40" s="78" t="n"/>
    </row>
    <row r="42" ht="22" customHeight="1">
      <c r="B42" s="103" t="inlineStr">
        <is>
          <t>C. PROPUESTA DE VALOR Y RETORNO DE INVERSIÓN (PAYBACK) PARA MONCHIS CAFÉ</t>
        </is>
      </c>
      <c r="C42" s="104" t="n"/>
      <c r="D42" s="104" t="n"/>
      <c r="E42" s="104" t="n"/>
      <c r="F42" s="104" t="n"/>
      <c r="G42" s="104" t="n"/>
    </row>
    <row r="43" ht="187" customHeight="1">
      <c r="B43" s="105" t="inlineStr">
        <is>
          <t>La inversión se sustenta en beneficios operativos mensuales proyectados para la cafetería:
• Reducción de Mermas de Café Orgánico (-22%): Ahorro mensual estimado de $14,500.00 MXN mediante rotación PEPS y control de lotes.
• Incremento en Ticket Promedio (+24%): Ingreso mensual adicional de $38,500.00 MXN por sellos digitales Monchis Rewards y bono termo.
• Eliminación de Fugas en Caja (-98%): Recuperación de $9,200.00 MXN mensuales por conciliación automática de pagos mixtos y control de cambio.
• Captura de Nuevos Clientes por SEO Local: Ingreso mensual de $16,800.00 MXN derivado de tráfico de Google Maps e Instagram.
• Total Beneficio Operativo Bruto Estimado: $79,000.00 MXN/mes ($948,000.00 MXN anuales).
Nota de supuestos: Las cifras anteriores son estimaciones preliminares sujetas a validación con datos operativos históricos reales del negocio.
Evaluación del Período de Recuperación (Payback Period):
1. Payback Bruto: $900,680.12 / $79,000.00 = 11.4 meses (sin descontar costo de póliza ni costo de ventas).
2. Payback Neto con Póliza SLA: $900,680.12 / ($79,000.00 - $18,500.00) = $900,680.12 / $60,500.00 = 14.9 meses.
3. Payback Prudente (60% margen de contribución en ventas adicionales): Beneficio neto de $56,880.00/mes ($33,180 margen ventas + $23,700 ahorros). Plazo sin póliza: 15.8 meses; plazo neto con póliza ($38,380/mes): 23.5 meses.</t>
        </is>
      </c>
      <c r="C43" s="78" t="n"/>
      <c r="D43" s="78" t="n"/>
      <c r="E43" s="78" t="n"/>
      <c r="F43" s="78" t="n"/>
      <c r="G43" s="78" t="n"/>
    </row>
    <row r="45" ht="22" customHeight="1">
      <c r="B45" s="103" t="inlineStr">
        <is>
          <t>D. ESQUEMA DE CIERRE Y FINANCIAMIENTO POR HITOS ÁGILES (6 HITOS DE ENTREGA)</t>
        </is>
      </c>
      <c r="C45" s="104" t="n"/>
      <c r="D45" s="104" t="n"/>
      <c r="E45" s="104" t="n"/>
      <c r="F45" s="104" t="n"/>
      <c r="G45" s="104" t="n"/>
    </row>
    <row r="46" ht="136" customHeight="1">
      <c r="B46" s="105" t="inlineStr">
        <is>
          <t>Para dar certidumbre al cliente y asegurar flujo de efectivo para el equipo, el cobro se divide en 6 hitos contra entregables en Staging:
• Hito 0 (Firma y Arranque): Anticipo del 20% ($180,136.02 MXN sin IVA). Setup de monorepo, Docker Compose, esquema Prisma y licencias.
• Hito 1 (Sprint 2 - Backend &amp; Seguridad): 15% ($135,102.02 MXN sin IVA). Backend Core, JWT stateless, RBAC y reCAPTCHA en Staging.
• Hito 2 (Sprint 4 - Eventos &amp; Frontend): 15% ($135,102.02 MXN sin IVA). Broker RabbitMQ CloudAMQP, Patrón Saga y vistas Vue 3 prerenderizadas.
• Hito 3 (Sprint 6 - POS &amp; Trazabilidad): 15% ($135,102.02 MXN sin IVA). POS táctil de barra, pagos mixtos, escaneo QR y trazabilidad ODS 12.
• Hito 4 (Sprint 8 - Analítica &amp; Testing): 15% ($135,102.02 MXN sin IVA). Dashboard de ventas con UTM, suites Vitest/Playwright y reporte SAST.
• Hito 5 (Cierre y Despliegue en GCP): Finiquito del 20% ($180,136.02 MXN sin IVA). Terraform en GCP, manuales de usuario y entrega de llaves.
Nota sobre financiamiento puente: La línea de crédito de $40,000.00 MXN se justifica para anticipar la compra de activos de laboratorio ($148.8k) y depósitos cloud antes de la dispersión bancaria del anticipo, protegiendo el calendario de trabajo frente a demoras administrativas.</t>
        </is>
      </c>
      <c r="C46" s="78" t="n"/>
      <c r="D46" s="78" t="n"/>
      <c r="E46" s="78" t="n"/>
      <c r="F46" s="78" t="n"/>
      <c r="G46" s="78" t="n"/>
    </row>
    <row r="48" ht="24" customHeight="1">
      <c r="B48" s="79" t="inlineStr">
        <is>
          <t>4. ANÁLISIS DE SENSIBILIDAD Y ESCENARIOS DE RENTABILIDAD</t>
        </is>
      </c>
      <c r="C48" s="80" t="n"/>
      <c r="D48" s="80" t="n"/>
      <c r="E48" s="80" t="n"/>
      <c r="F48" s="80" t="n"/>
      <c r="G48" s="80" t="n"/>
    </row>
    <row r="49" ht="22" customHeight="1">
      <c r="B49" s="81" t="inlineStr">
        <is>
          <t>Escenario Comercial</t>
        </is>
      </c>
      <c r="C49" s="82" t="inlineStr">
        <is>
          <t>Margen s/ Venta</t>
        </is>
      </c>
      <c r="D49" s="82" t="inlineStr">
        <is>
          <t>Precio sin IVA (MXN)</t>
        </is>
      </c>
      <c r="E49" s="82" t="inlineStr">
        <is>
          <t>Precio con IVA</t>
        </is>
      </c>
      <c r="F49" s="82" t="inlineStr">
        <is>
          <t>Utilidad antes ISR</t>
        </is>
      </c>
      <c r="G49" s="81" t="inlineStr">
        <is>
          <t>Criterio y Táctica de Negociación</t>
        </is>
      </c>
    </row>
    <row r="50" ht="28" customHeight="1">
      <c r="B50" s="77" t="inlineStr">
        <is>
          <t>Escenario Conservador (Piso Mínimo)</t>
        </is>
      </c>
      <c r="C50" s="85" t="n">
        <v>0.2</v>
      </c>
      <c r="D50" s="83">
        <f>ROUND('RESUMEN Y COTIZACION'!$B$13/(1-C50), 2)</f>
        <v/>
      </c>
      <c r="E50" s="83">
        <f>ROUND(D50*(1+PARAMETROS!$B$7), 2)</f>
        <v/>
      </c>
      <c r="F50" s="83">
        <f>ROUND(D50-'RESUMEN Y COTIZACION'!$B$13, 2)</f>
        <v/>
      </c>
      <c r="G50" s="86" t="inlineStr">
        <is>
          <t>Piso de negociación que sacrifica margen comercial (del 30% al 20%), no reducción de costos de desarrollo. Asegura el contrato ante restricciones del cliente.</t>
        </is>
      </c>
    </row>
    <row r="51" ht="28" customHeight="1">
      <c r="B51" s="76" t="inlineStr">
        <is>
          <t>Escenario Esperado / Base (Recomendado)</t>
        </is>
      </c>
      <c r="C51" s="89">
        <f>PARAMETROS!$B$6</f>
        <v/>
      </c>
      <c r="D51" s="87">
        <f>'RESUMEN Y COTIZACION'!$B$17</f>
        <v/>
      </c>
      <c r="E51" s="87">
        <f>'RESUMEN Y COTIZACION'!$B$19</f>
        <v/>
      </c>
      <c r="F51" s="87">
        <f>'RESUMEN Y COTIZACION'!$B$24</f>
        <v/>
      </c>
      <c r="G51" s="90" t="inlineStr">
        <is>
          <t>Propuesta recomendada. Mantiene el margen del 30.0% proyectado para la viabilidad de la empresa y amortización equilibrada para el cliente.</t>
        </is>
      </c>
    </row>
    <row r="52" ht="28" customHeight="1">
      <c r="B52" s="77" t="inlineStr">
        <is>
          <t>Escenario Premium / Valor Agregado</t>
        </is>
      </c>
      <c r="C52" s="85" t="n">
        <v>0.35</v>
      </c>
      <c r="D52" s="83">
        <f>ROUND('RESUMEN Y COTIZACION'!$B$13/(1-C52), 2)</f>
        <v/>
      </c>
      <c r="E52" s="83">
        <f>ROUND(D52*(1+PARAMETROS!$B$7), 2)</f>
        <v/>
      </c>
      <c r="F52" s="83">
        <f>ROUND(D52-'RESUMEN Y COTIZACION'!$B$13, 2)</f>
        <v/>
      </c>
      <c r="G52" s="86" t="inlineStr">
        <is>
          <t>Paquete con 6 meses de póliza SLA 99.5% ($49,950 MXN costo asumido) y analítica avanzada. Utilidad ajustada post-SLA: $289,537.12 MXN (margen efectivo del 29.9%).</t>
        </is>
      </c>
    </row>
    <row r="54" ht="24" customHeight="1">
      <c r="B54" s="79" t="inlineStr">
        <is>
          <t>5. NOTAS TÉCNICAS DE RIESGO OPERATIVO Y SENSIBILIDAD FISCAL</t>
        </is>
      </c>
      <c r="C54" s="80" t="n"/>
      <c r="D54" s="80" t="n"/>
      <c r="E54" s="80" t="n"/>
      <c r="F54" s="80" t="n"/>
      <c r="G54" s="80" t="n"/>
    </row>
    <row r="55" ht="54" customHeight="1">
      <c r="B55" s="105" t="inlineStr">
        <is>
          <t>• Nota de Riesgo de Perfiles Técnicos: El proyecto no dispone de perfiles dedicados y exclusivos de DevOps, DBA ni diseñador UX; dichas responsabilidades son absorbidas por los cuatro ingenieros de desarrollo. Por tanto, el fondo de contingencia del 10% ($57,316.01 MXN) constituye el único margen disponible para absorber desviaciones técnicas o retrabajos en infraestructura.
• Nota de Sensibilidad de Carga Patronal: Por cada 5.0 puntos porcentuales adicionales de carga patronal sobre la nómina ($17,900.00 MXN en sueldos brutos + $1,790.00 MXN de contingencia = $19,690.00 MXN en CTP), el precio de venta sin IVA se incrementa en $28,128.57 MXN (≈ $28,100 MXN sin IVA) para conservar el margen del 30.0%.
• Tratamiento Tributario del IVA: El IVA facturado ($144,108.82 MXN) corresponde a un impuesto fiscal trasladado que no forma parte del ingreso ni de la utilidad de la empresa desarrolladora, siendo acreditable para el cliente contra sus débitos fiscales.</t>
        </is>
      </c>
      <c r="C55" s="78" t="n"/>
      <c r="D55" s="78" t="n"/>
      <c r="E55" s="78" t="n"/>
      <c r="F55" s="78" t="n"/>
      <c r="G55" s="78" t="n"/>
    </row>
    <row r="57">
      <c r="B57" s="106" t="inlineStr">
        <is>
          <t>Actividad 4: Gestión de Finanzas | Cátedra: Proyecto Integrador de Desarrollo de Software | Docente: Dr. Gabriel Navarro Salcedo | Centro Universitario de Tonalá (CUTonalá) — Universidad de Guadalajara.</t>
        </is>
      </c>
      <c r="C57" s="78" t="n"/>
      <c r="D57" s="78" t="n"/>
      <c r="E57" s="78" t="n"/>
      <c r="F57" s="78" t="n"/>
      <c r="G57" s="78" t="n"/>
    </row>
  </sheetData>
  <mergeCells count="23">
    <mergeCell ref="B2:G2"/>
    <mergeCell ref="C6:D6"/>
    <mergeCell ref="B42:G42"/>
    <mergeCell ref="C5:D5"/>
    <mergeCell ref="B57:G57"/>
    <mergeCell ref="F6:G6"/>
    <mergeCell ref="F7:G7"/>
    <mergeCell ref="B37:G37"/>
    <mergeCell ref="F5:G5"/>
    <mergeCell ref="B9:G9"/>
    <mergeCell ref="B40:G40"/>
    <mergeCell ref="B55:G55"/>
    <mergeCell ref="B36:G36"/>
    <mergeCell ref="B45:G45"/>
    <mergeCell ref="B35:G35"/>
    <mergeCell ref="B25:G25"/>
    <mergeCell ref="B3:G3"/>
    <mergeCell ref="B54:G54"/>
    <mergeCell ref="C7:D7"/>
    <mergeCell ref="B46:G46"/>
    <mergeCell ref="B43:G43"/>
    <mergeCell ref="B48:G48"/>
    <mergeCell ref="B39:G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4" customWidth="1" min="8" max="8"/>
  </cols>
  <sheetData>
    <row r="2" ht="26" customHeight="1">
      <c r="B2" s="73" t="inlineStr">
        <is>
          <t>MONCHIS CAFÉ — PROYECCIÓN DE FLUJO DE CAJA OPERATIVO (4 MESES)</t>
        </is>
      </c>
      <c r="C2" s="74" t="n"/>
      <c r="D2" s="74" t="n"/>
      <c r="E2" s="74" t="n"/>
      <c r="F2" s="74" t="n"/>
      <c r="G2" s="74" t="n"/>
    </row>
    <row r="3" ht="18" customHeight="1">
      <c r="B3" s="75" t="inlineStr">
        <is>
          <t>Control Mensual de Entradas (Cobros con IVA) vs Salidas Operativas y Amortización</t>
        </is>
      </c>
      <c r="C3" s="74" t="n"/>
      <c r="D3" s="74" t="n"/>
      <c r="E3" s="74" t="n"/>
      <c r="F3" s="74" t="n"/>
      <c r="G3" s="74" t="n"/>
    </row>
    <row r="5" ht="22" customHeight="1">
      <c r="B5" s="81" t="inlineStr">
        <is>
          <t>Concepto de Flujo de Efectivo</t>
        </is>
      </c>
      <c r="C5" s="82" t="inlineStr">
        <is>
          <t>Mes 1 (MXN)</t>
        </is>
      </c>
      <c r="D5" s="82" t="inlineStr">
        <is>
          <t>Mes 2 (MXN)</t>
        </is>
      </c>
      <c r="E5" s="82" t="inlineStr">
        <is>
          <t>Mes 3 (MXN)</t>
        </is>
      </c>
      <c r="F5" s="82" t="inlineStr">
        <is>
          <t>Mes 4 (MXN)</t>
        </is>
      </c>
      <c r="G5" s="82" t="inlineStr">
        <is>
          <t>Total Proyecto</t>
        </is>
      </c>
    </row>
    <row r="6" ht="20" customHeight="1">
      <c r="B6" s="103" t="inlineStr">
        <is>
          <t>1. INGRESOS POR HITOS DE FACTURACIÓN (CON IVA)</t>
        </is>
      </c>
      <c r="C6" s="104" t="n"/>
      <c r="D6" s="104" t="n"/>
      <c r="E6" s="104" t="n"/>
      <c r="F6" s="104" t="n"/>
      <c r="G6" s="104" t="n"/>
    </row>
    <row r="7" ht="20" customHeight="1">
      <c r="B7" s="77" t="inlineStr">
        <is>
          <t>Cobro de Hito 0: Anticipo Inicial (20%)</t>
        </is>
      </c>
      <c r="C7" s="83">
        <f>ROUND('RESUMEN Y COTIZACION'!$B$19*0.20, 2)</f>
        <v/>
      </c>
      <c r="D7" s="83" t="n">
        <v>0</v>
      </c>
      <c r="E7" s="83" t="n">
        <v>0</v>
      </c>
      <c r="F7" s="83" t="n">
        <v>0</v>
      </c>
      <c r="G7" s="83">
        <f>SUM(C7:F7)</f>
        <v/>
      </c>
    </row>
    <row r="8" ht="20" customHeight="1">
      <c r="B8" s="77" t="inlineStr">
        <is>
          <t>Cobro de Hito 1: Sprint 2 Backend Core (15%)</t>
        </is>
      </c>
      <c r="C8" s="83">
        <f>ROUND('RESUMEN Y COTIZACION'!$B$19*0.15, 2)</f>
        <v/>
      </c>
      <c r="D8" s="83" t="n">
        <v>0</v>
      </c>
      <c r="E8" s="83" t="n">
        <v>0</v>
      </c>
      <c r="F8" s="83" t="n">
        <v>0</v>
      </c>
      <c r="G8" s="83">
        <f>SUM(C8:F8)</f>
        <v/>
      </c>
    </row>
    <row r="9" ht="20" customHeight="1">
      <c r="B9" s="77" t="inlineStr">
        <is>
          <t>Cobro de Hito 2: Sprint 4 RabbitMQ &amp; Vue 3 (15%)</t>
        </is>
      </c>
      <c r="C9" s="83" t="n">
        <v>0</v>
      </c>
      <c r="D9" s="83">
        <f>ROUND('RESUMEN Y COTIZACION'!$B$19*0.15, 2)</f>
        <v/>
      </c>
      <c r="E9" s="83" t="n">
        <v>0</v>
      </c>
      <c r="F9" s="83" t="n">
        <v>0</v>
      </c>
      <c r="G9" s="83">
        <f>SUM(C9:F9)</f>
        <v/>
      </c>
    </row>
    <row r="10" ht="20" customHeight="1">
      <c r="B10" s="77" t="inlineStr">
        <is>
          <t>Cobro de Hito 3: Sprint 6 POS Mostrador (15%)</t>
        </is>
      </c>
      <c r="C10" s="83" t="n">
        <v>0</v>
      </c>
      <c r="D10" s="83" t="n">
        <v>0</v>
      </c>
      <c r="E10" s="83">
        <f>ROUND('RESUMEN Y COTIZACION'!$B$19*0.15, 2)</f>
        <v/>
      </c>
      <c r="F10" s="83" t="n">
        <v>0</v>
      </c>
      <c r="G10" s="83">
        <f>SUM(C10:F10)</f>
        <v/>
      </c>
    </row>
    <row r="11" ht="20" customHeight="1">
      <c r="B11" s="77" t="inlineStr">
        <is>
          <t>Cobro de Hito 4: Sprint 8 Analítica &amp; QA (15%)</t>
        </is>
      </c>
      <c r="C11" s="83" t="n">
        <v>0</v>
      </c>
      <c r="D11" s="83" t="n">
        <v>0</v>
      </c>
      <c r="E11" s="83" t="n">
        <v>0</v>
      </c>
      <c r="F11" s="83">
        <f>ROUND('RESUMEN Y COTIZACION'!$B$19*0.15, 2)</f>
        <v/>
      </c>
      <c r="G11" s="83">
        <f>SUM(C11:F11)</f>
        <v/>
      </c>
    </row>
    <row r="12" ht="20" customHeight="1">
      <c r="B12" s="77" t="inlineStr">
        <is>
          <t>Cobro de Hito 5: Finiquito y Cierre en GCP (20%)</t>
        </is>
      </c>
      <c r="C12" s="83" t="n">
        <v>0</v>
      </c>
      <c r="D12" s="83" t="n">
        <v>0</v>
      </c>
      <c r="E12" s="83" t="n">
        <v>0</v>
      </c>
      <c r="F12" s="83">
        <f>ROUND('RESUMEN Y COTIZACION'!$B$19*0.20, 2)</f>
        <v/>
      </c>
      <c r="G12" s="83">
        <f>SUM(C12:F12)</f>
        <v/>
      </c>
    </row>
    <row r="13" ht="20" customHeight="1">
      <c r="B13" s="77" t="inlineStr">
        <is>
          <t>Financiamiento Puente Inicial (Crédito)</t>
        </is>
      </c>
      <c r="C13" s="83">
        <f>PRESTAMO!$B$2</f>
        <v/>
      </c>
      <c r="D13" s="83" t="n">
        <v>0</v>
      </c>
      <c r="E13" s="83" t="n">
        <v>0</v>
      </c>
      <c r="F13" s="83" t="n">
        <v>0</v>
      </c>
      <c r="G13" s="83">
        <f>SUM(C13:F13)</f>
        <v/>
      </c>
    </row>
    <row r="14" ht="20" customHeight="1">
      <c r="B14" s="76" t="inlineStr">
        <is>
          <t>TOTAL ENTRADAS DE EFECTIVO (A)</t>
        </is>
      </c>
      <c r="C14" s="87">
        <f>SUM(C7:C13)</f>
        <v/>
      </c>
      <c r="D14" s="87">
        <f>SUM(D7:D13)</f>
        <v/>
      </c>
      <c r="E14" s="87">
        <f>SUM(E7:E13)</f>
        <v/>
      </c>
      <c r="F14" s="87">
        <f>SUM(F7:F13)</f>
        <v/>
      </c>
      <c r="G14" s="87">
        <f>SUM(G7:G13)</f>
        <v/>
      </c>
    </row>
    <row r="15" ht="20" customHeight="1">
      <c r="B15" s="103" t="inlineStr">
        <is>
          <t>2. EGRESOS OPERATIVOS DEL PROYECTO</t>
        </is>
      </c>
      <c r="C15" s="104" t="n"/>
      <c r="D15" s="104" t="n"/>
      <c r="E15" s="104" t="n"/>
      <c r="F15" s="104" t="n"/>
      <c r="G15" s="104" t="n"/>
    </row>
    <row r="16" ht="20" customHeight="1">
      <c r="B16" s="77" t="inlineStr">
        <is>
          <t>Nómina y Cargas Patronales (30% IMSS/INFONAVIT/ISN)</t>
        </is>
      </c>
      <c r="C16" s="83">
        <f>ROUND('RESUMEN Y COTIZACION'!$B$6/4, 2)</f>
        <v/>
      </c>
      <c r="D16" s="83">
        <f>ROUND('RESUMEN Y COTIZACION'!$B$6/4, 2)</f>
        <v/>
      </c>
      <c r="E16" s="83">
        <f>ROUND('RESUMEN Y COTIZACION'!$B$6/4, 2)</f>
        <v/>
      </c>
      <c r="F16" s="83">
        <f>ROUND('RESUMEN Y COTIZACION'!$B$6/4, 2)</f>
        <v/>
      </c>
      <c r="G16" s="83">
        <f>SUM(C16:F16)</f>
        <v/>
      </c>
    </row>
    <row r="17" ht="20" customHeight="1">
      <c r="B17" s="77" t="inlineStr">
        <is>
          <t>Gastos Fijos de Oficina y Servicios</t>
        </is>
      </c>
      <c r="C17" s="83">
        <f>ROUND('RESUMEN Y COTIZACION'!$B$7/4, 2)</f>
        <v/>
      </c>
      <c r="D17" s="83">
        <f>ROUND('RESUMEN Y COTIZACION'!$B$7/4, 2)</f>
        <v/>
      </c>
      <c r="E17" s="83">
        <f>ROUND('RESUMEN Y COTIZACION'!$B$7/4, 2)</f>
        <v/>
      </c>
      <c r="F17" s="83">
        <f>ROUND('RESUMEN Y COTIZACION'!$B$7/4, 2)</f>
        <v/>
      </c>
      <c r="G17" s="83">
        <f>SUM(C17:F17)</f>
        <v/>
      </c>
    </row>
    <row r="18" ht="20" customHeight="1">
      <c r="B18" s="77" t="inlineStr">
        <is>
          <t>Costos Directos de Nube, Licencias y Seguridad</t>
        </is>
      </c>
      <c r="C18" s="83">
        <f>ROUND('RESUMEN Y COTIZACION'!$B$8/4, 2)</f>
        <v/>
      </c>
      <c r="D18" s="83">
        <f>ROUND('RESUMEN Y COTIZACION'!$B$8/4, 2)</f>
        <v/>
      </c>
      <c r="E18" s="83">
        <f>ROUND('RESUMEN Y COTIZACION'!$B$8/4, 2)</f>
        <v/>
      </c>
      <c r="F18" s="83">
        <f>ROUND('RESUMEN Y COTIZACION'!$B$8/4, 2)</f>
        <v/>
      </c>
      <c r="G18" s="83">
        <f>SUM(C18:F18)</f>
        <v/>
      </c>
    </row>
    <row r="19" ht="20" customHeight="1">
      <c r="B19" s="77" t="inlineStr">
        <is>
          <t>Adquisición Inicial de Activos de Laboratorio</t>
        </is>
      </c>
      <c r="C19" s="83">
        <f>'INVERSION INICIAL'!F8</f>
        <v/>
      </c>
      <c r="D19" s="83" t="n">
        <v>0</v>
      </c>
      <c r="E19" s="83" t="n">
        <v>0</v>
      </c>
      <c r="F19" s="83" t="n">
        <v>0</v>
      </c>
      <c r="G19" s="83">
        <f>SUM(C19:F19)</f>
        <v/>
      </c>
    </row>
    <row r="20" ht="20" customHeight="1">
      <c r="B20" s="77" t="inlineStr">
        <is>
          <t>Amortización Mensual del Préstamo Bancario</t>
        </is>
      </c>
      <c r="C20" s="83">
        <f>ROUND('PRESTAMO'!$B$4, 2)</f>
        <v/>
      </c>
      <c r="D20" s="83">
        <f>ROUND('PRESTAMO'!$B$4, 2)</f>
        <v/>
      </c>
      <c r="E20" s="83">
        <f>ROUND('PRESTAMO'!$B$4, 2)</f>
        <v/>
      </c>
      <c r="F20" s="83">
        <f>ROUND('PRESTAMO'!$B$4, 2)</f>
        <v/>
      </c>
      <c r="G20" s="83">
        <f>SUM(C20:F20)</f>
        <v/>
      </c>
    </row>
    <row r="21" ht="20" customHeight="1">
      <c r="B21" s="76" t="inlineStr">
        <is>
          <t>TOTAL SALIDAS DE EFECTIVO (B)</t>
        </is>
      </c>
      <c r="C21" s="87">
        <f>SUM(C16:C20)</f>
        <v/>
      </c>
      <c r="D21" s="87">
        <f>SUM(D16:D20)</f>
        <v/>
      </c>
      <c r="E21" s="87">
        <f>SUM(E16:E20)</f>
        <v/>
      </c>
      <c r="F21" s="87">
        <f>SUM(F16:F20)</f>
        <v/>
      </c>
      <c r="G21" s="87">
        <f>SUM(G16:G20)</f>
        <v/>
      </c>
    </row>
    <row r="22" ht="20" customHeight="1">
      <c r="B22" s="103" t="inlineStr">
        <is>
          <t>3. FLUJO NETO Y POSICIÓN DE CAJA</t>
        </is>
      </c>
      <c r="C22" s="104" t="n"/>
      <c r="D22" s="104" t="n"/>
      <c r="E22" s="104" t="n"/>
      <c r="F22" s="104" t="n"/>
      <c r="G22" s="104" t="n"/>
    </row>
    <row r="23" ht="20" customHeight="1">
      <c r="B23" s="91" t="inlineStr">
        <is>
          <t>FLUJO NETO MENSUAL (A - B)</t>
        </is>
      </c>
      <c r="C23" s="92">
        <f>C14-C21</f>
        <v/>
      </c>
      <c r="D23" s="92">
        <f>D14-D21</f>
        <v/>
      </c>
      <c r="E23" s="92">
        <f>E14-E21</f>
        <v/>
      </c>
      <c r="F23" s="92">
        <f>F14-F21</f>
        <v/>
      </c>
      <c r="G23" s="92">
        <f>G14-G21</f>
        <v/>
      </c>
    </row>
    <row r="24" ht="20" customHeight="1">
      <c r="B24" s="91" t="inlineStr">
        <is>
          <t>SALDO DE CAJA ACUMULADO AL CIERRE</t>
        </is>
      </c>
      <c r="C24" s="92">
        <f>C23</f>
        <v/>
      </c>
      <c r="D24" s="92">
        <f>C24+D23</f>
        <v/>
      </c>
      <c r="E24" s="92">
        <f>D24+E23</f>
        <v/>
      </c>
      <c r="F24" s="92">
        <f>E24+F23</f>
        <v/>
      </c>
      <c r="G24" s="92">
        <f>F24</f>
        <v/>
      </c>
    </row>
  </sheetData>
  <mergeCells count="5">
    <mergeCell ref="B3:G3"/>
    <mergeCell ref="B2:G2"/>
    <mergeCell ref="B22:G22"/>
    <mergeCell ref="B15:G1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2026-10-20T22:03:57Z</dcterms:created>
  <dcterms:modified xmlns:dcterms="http://purl.org/dc/terms/" xmlns:xsi="http://www.w3.org/2001/XMLSchema-instance" xsi:type="dcterms:W3CDTF">2026-10-20T23:09:12Z</dcterms:modified>
  <cp:lastModifiedBy>Profesor</cp:lastModifiedBy>
</cp:coreProperties>
</file>