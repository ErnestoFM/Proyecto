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2" activeTab="2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ISR 2026 MENSUAL" sheetId="2" state="visible" r:id="rId2"/>
    <sheet xmlns:r="http://schemas.openxmlformats.org/officeDocument/2006/relationships" name="NOMINA" sheetId="3" state="visible" r:id="rId3"/>
    <sheet xmlns:r="http://schemas.openxmlformats.org/officeDocument/2006/relationships" name="GASTOS FIJOS" sheetId="4" state="visible" r:id="rId4"/>
    <sheet xmlns:r="http://schemas.openxmlformats.org/officeDocument/2006/relationships" name="COSTOS DIRECTOS" sheetId="5" state="visible" r:id="rId5"/>
    <sheet xmlns:r="http://schemas.openxmlformats.org/officeDocument/2006/relationships" name="INVERSION INICIAL" sheetId="6" state="visible" r:id="rId6"/>
    <sheet xmlns:r="http://schemas.openxmlformats.org/officeDocument/2006/relationships" name="PRESTAMO" sheetId="7" state="visible" r:id="rId7"/>
    <sheet xmlns:r="http://schemas.openxmlformats.org/officeDocument/2006/relationships" name="RESUMEN Y COTIZACION" sheetId="8" state="visible" r:id="rId8"/>
    <sheet xmlns:r="http://schemas.openxmlformats.org/officeDocument/2006/relationships" name="INSTRUCCIONES" sheetId="9" state="visible" r:id="rId9"/>
    <sheet xmlns:r="http://schemas.openxmlformats.org/officeDocument/2006/relationships" name="ESTRATEGIA DE VENTA" sheetId="10" state="visible" r:id="rId10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-&quot;$&quot;* #,##0.00_-;\-&quot;$&quot;* #,##0.00_-;_-&quot;$&quot;* &quot;-&quot;??_-;_-@_-"/>
    <numFmt numFmtId="166" formatCode="$#,##0.00"/>
  </numFmts>
  <fonts count="19">
    <font>
      <name val="Carlito"/>
      <sz val="11"/>
    </font>
    <font>
      <name val="Carlito"/>
      <b val="1"/>
      <color rgb="FFFFFFFF"/>
      <sz val="11"/>
    </font>
    <font>
      <name val="Carlito"/>
      <sz val="11"/>
    </font>
    <font>
      <name val="Carlito"/>
      <b val="1"/>
      <color rgb="00FFFFFF"/>
      <sz val="16"/>
    </font>
    <font>
      <name val="Carlito"/>
      <i val="1"/>
      <color rgb="00FFFFFF"/>
      <sz val="11"/>
    </font>
    <font>
      <name val="Carlito"/>
      <b val="1"/>
      <color rgb="00000000"/>
      <sz val="10"/>
    </font>
    <font>
      <name val="Carlito"/>
      <color rgb="00000000"/>
      <sz val="10"/>
    </font>
    <font>
      <name val="Carlito"/>
      <b val="1"/>
      <color rgb="00FFFFFF"/>
      <sz val="12"/>
    </font>
    <font>
      <name val="Carlito"/>
      <b val="1"/>
      <color rgb="00FFFFFF"/>
      <sz val="10"/>
    </font>
    <font>
      <name val="Carlito"/>
      <i val="1"/>
      <color rgb="00555555"/>
      <sz val="9"/>
    </font>
    <font>
      <name val="Carlito"/>
      <b val="1"/>
      <color rgb="0017365D"/>
      <sz val="11"/>
    </font>
    <font>
      <name val="Carlito"/>
      <b val="1"/>
      <color rgb="00FFFFFF"/>
      <sz val="15"/>
    </font>
    <font>
      <name val="Carlito"/>
      <i val="1"/>
      <color rgb="00FFFFFF"/>
      <sz val="10"/>
    </font>
    <font>
      <name val="Carlito"/>
      <b val="1"/>
      <color rgb="00000000"/>
      <sz val="9.5"/>
    </font>
    <font>
      <name val="Carlito"/>
      <color rgb="00000000"/>
      <sz val="9.5"/>
    </font>
    <font>
      <name val="Carlito"/>
      <b val="1"/>
      <color rgb="00FFFFFF"/>
      <sz val="11"/>
    </font>
    <font>
      <name val="Carlito"/>
      <b val="1"/>
      <color rgb="00FFFFFF"/>
      <sz val="9.5"/>
    </font>
    <font>
      <name val="Carlito"/>
      <i val="1"/>
      <color rgb="00555555"/>
      <sz val="8.5"/>
    </font>
    <font>
      <name val="Carlito"/>
      <b val="1"/>
      <color rgb="0017365D"/>
      <sz val="10"/>
    </font>
  </fonts>
  <fills count="1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AF4F6"/>
      </patternFill>
    </fill>
    <fill>
      <patternFill patternType="solid">
        <fgColor rgb="0017365D"/>
        <bgColor rgb="0017365D"/>
      </patternFill>
    </fill>
    <fill>
      <patternFill patternType="solid">
        <fgColor rgb="00F0F4F8"/>
        <bgColor rgb="00F0F4F8"/>
      </patternFill>
    </fill>
    <fill>
      <patternFill patternType="solid">
        <fgColor rgb="00244B7A"/>
        <bgColor rgb="00244B7A"/>
      </patternFill>
    </fill>
    <fill>
      <patternFill patternType="solid">
        <fgColor rgb="00E2F0D9"/>
        <bgColor rgb="00E2F0D9"/>
      </patternFill>
    </fill>
    <fill>
      <patternFill patternType="solid">
        <fgColor rgb="00D9E2EC"/>
        <bgColor rgb="00D9E2E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2">
    <xf numFmtId="0" fontId="2" fillId="0" borderId="0"/>
    <xf numFmtId="44" fontId="2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0" fontId="0" fillId="0" borderId="0" pivotButton="0" quotePrefix="0" xfId="0"/>
    <xf numFmtId="0" fontId="0" fillId="4" borderId="0" pivotButton="0" quotePrefix="0" xfId="0"/>
    <xf numFmtId="165" fontId="0" fillId="3" borderId="0" pivotButton="0" quotePrefix="0" xfId="1"/>
    <xf numFmtId="165" fontId="0" fillId="3" borderId="0" pivotButton="0" quotePrefix="0" xfId="1"/>
    <xf numFmtId="0" fontId="3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7" fillId="7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166" fontId="5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pivotButton="0" quotePrefix="0" xfId="0"/>
    <xf numFmtId="166" fontId="5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center" vertical="center"/>
    </xf>
    <xf numFmtId="0" fontId="5" fillId="9" borderId="1" pivotButton="0" quotePrefix="0" xfId="0"/>
    <xf numFmtId="166" fontId="5" fillId="9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10" fillId="9" borderId="1" pivotButton="0" quotePrefix="0" xfId="0"/>
    <xf numFmtId="0" fontId="6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2" fillId="5" borderId="1" applyAlignment="1" pivotButton="0" quotePrefix="0" xfId="0">
      <alignment horizontal="center" vertical="center"/>
    </xf>
    <xf numFmtId="0" fontId="13" fillId="6" borderId="1" pivotButton="0" quotePrefix="0" xfId="0"/>
    <xf numFmtId="0" fontId="14" fillId="0" borderId="1" pivotButton="0" quotePrefix="0" xfId="0"/>
    <xf numFmtId="0" fontId="15" fillId="7" borderId="1" applyAlignment="1" pivotButton="0" quotePrefix="0" xfId="0">
      <alignment horizontal="left" vertical="center" indent="1"/>
    </xf>
    <xf numFmtId="0" fontId="0" fillId="7" borderId="1" pivotButton="0" quotePrefix="0" xfId="0"/>
    <xf numFmtId="0" fontId="16" fillId="5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166" fontId="13" fillId="6" borderId="1" applyAlignment="1" pivotButton="0" quotePrefix="0" xfId="0">
      <alignment horizontal="right" vertical="center"/>
    </xf>
    <xf numFmtId="0" fontId="17" fillId="6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  <xf numFmtId="0" fontId="13" fillId="8" borderId="1" pivotButton="0" quotePrefix="0" xfId="0"/>
    <xf numFmtId="166" fontId="13" fillId="8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center" vertical="center"/>
    </xf>
    <xf numFmtId="164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 wrapText="1"/>
    </xf>
    <xf numFmtId="3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3" fillId="9" borderId="1" pivotButton="0" quotePrefix="0" xfId="0"/>
    <xf numFmtId="166" fontId="13" fillId="9" borderId="1" applyAlignment="1" pivotButton="0" quotePrefix="0" xfId="0">
      <alignment horizontal="right" vertical="center"/>
    </xf>
    <xf numFmtId="164" fontId="13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 wrapText="1"/>
    </xf>
    <xf numFmtId="0" fontId="18" fillId="9" borderId="1" pivotButton="0" quotePrefix="0" xfId="0"/>
    <xf numFmtId="0" fontId="0" fillId="9" borderId="1" pivotButton="0" quotePrefix="0" xfId="0"/>
    <xf numFmtId="0" fontId="14" fillId="0" borderId="1" applyAlignment="1" pivotButton="0" quotePrefix="0" xfId="0">
      <alignment horizontal="left" vertical="top" wrapText="1"/>
    </xf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C16" sqref="C16"/>
    </sheetView>
  </sheetViews>
  <sheetFormatPr baseColWidth="10" defaultColWidth="9" defaultRowHeight="14.25" outlineLevelCol="0"/>
  <cols>
    <col width="32" customWidth="1" min="1" max="1"/>
    <col width="57.75" customWidth="1" min="2" max="2"/>
    <col width="85" customWidth="1" min="3" max="3"/>
  </cols>
  <sheetData>
    <row r="1" ht="35.1" customHeight="1">
      <c r="A1" s="1" t="inlineStr">
        <is>
          <t>Parámetro</t>
        </is>
      </c>
      <c r="B1" s="1" t="inlineStr">
        <is>
          <t>Valor / captura</t>
        </is>
      </c>
      <c r="C1" s="1" t="inlineStr">
        <is>
          <t>Orientación</t>
        </is>
      </c>
    </row>
    <row r="2">
      <c r="A2" t="inlineStr">
        <is>
          <t>Proyecto</t>
        </is>
      </c>
      <c r="B2" s="3" t="inlineStr">
        <is>
          <t>Monchis Café — Plataforma Web y POS Seguro para Cafetería Orgánica</t>
        </is>
      </c>
      <c r="C2" t="inlineStr">
        <is>
          <t>Cambiar por el proyecto elegido</t>
        </is>
      </c>
    </row>
    <row r="3">
      <c r="A3" t="inlineStr">
        <is>
          <t>Año</t>
        </is>
      </c>
      <c r="B3" s="3" t="n">
        <v>2026</v>
      </c>
      <c r="C3" t="inlineStr">
        <is>
          <t>Tarifa ISR mensual para nóminas</t>
        </is>
      </c>
    </row>
    <row r="4">
      <c r="A4" t="inlineStr">
        <is>
          <t>Duración (meses)</t>
        </is>
      </c>
      <c r="B4" s="3" t="n">
        <v>4</v>
      </c>
      <c r="C4" t="inlineStr">
        <is>
          <t>Meses de ejecución</t>
        </is>
      </c>
    </row>
    <row r="5">
      <c r="A5" t="inlineStr">
        <is>
          <t>Proyectos a entregar</t>
        </is>
      </c>
      <c r="B5" s="3" t="n">
        <v>1</v>
      </c>
      <c r="C5" t="inlineStr">
        <is>
          <t>Cantidad de soluciones idénticas a comercializar</t>
        </is>
      </c>
    </row>
    <row r="6">
      <c r="A6" t="inlineStr">
        <is>
          <t>Margen deseado sobre venta</t>
        </is>
      </c>
      <c r="B6" s="4" t="n">
        <v>0.3</v>
      </c>
      <c r="C6" t="inlineStr">
        <is>
          <t>Ejemplo 0.30 significa utilidad 30% del precio sin IVA</t>
        </is>
      </c>
    </row>
    <row r="7">
      <c r="A7" t="inlineStr">
        <is>
          <t>IVA facturación</t>
        </is>
      </c>
      <c r="B7" s="4" t="n">
        <v>0.16</v>
      </c>
      <c r="C7" t="inlineStr">
        <is>
          <t>Se adiciona al precio; no es utilidad</t>
        </is>
      </c>
    </row>
    <row r="8">
      <c r="A8" t="inlineStr">
        <is>
          <t>Contingencia sobre costo</t>
        </is>
      </c>
      <c r="B8" s="4" t="n">
        <v>0.1</v>
      </c>
      <c r="C8" t="inlineStr">
        <is>
          <t>Reserva para imprevistos</t>
        </is>
      </c>
    </row>
    <row r="9">
      <c r="A9" t="inlineStr">
        <is>
          <t>Carga patronal estimada</t>
        </is>
      </c>
      <c r="B9" s="4" t="n">
        <v>0.3</v>
      </c>
      <c r="C9" t="inlineStr">
        <is>
          <t>SUPUESTO académico ajustable, no cálculo definitivo IMSS / INFONAVIT</t>
        </is>
      </c>
    </row>
    <row r="10">
      <c r="A10" t="inlineStr">
        <is>
          <t>Horas productivas al mes</t>
        </is>
      </c>
      <c r="B10" s="3" t="n">
        <v>160</v>
      </c>
      <c r="C10" t="inlineStr">
        <is>
          <t>Para estimar costo por hora</t>
        </is>
      </c>
    </row>
    <row r="11">
      <c r="A11" t="inlineStr">
        <is>
          <t>UMA diaria 2026</t>
        </is>
      </c>
      <c r="B11" s="3" t="n">
        <v>117.31</v>
      </c>
      <c r="C11" t="inlineStr">
        <is>
          <t>INEGI vigente desde 01/02/2026</t>
        </is>
      </c>
    </row>
    <row r="12">
      <c r="A12" t="inlineStr">
        <is>
          <t>Subsidio empleo ingreso máximo</t>
        </is>
      </c>
      <c r="B12" s="3" t="n">
        <v>11492.66</v>
      </c>
      <c r="C12" t="inlineStr">
        <is>
          <t>Límite mensual establecido para 2026</t>
        </is>
      </c>
    </row>
    <row r="13">
      <c r="A13" t="inlineStr">
        <is>
          <t>Subsidio mensual 2026</t>
        </is>
      </c>
      <c r="B13">
        <f>ROUND(3566.22*15.02%,2)</f>
        <v/>
      </c>
      <c r="C13" t="inlineStr">
        <is>
          <t>Valor general desde febrero; enero tiene excepción normativa</t>
        </is>
      </c>
    </row>
    <row r="14">
      <c r="A14" t="inlineStr">
        <is>
          <t>Interés anual préstamo</t>
        </is>
      </c>
      <c r="B14" s="4" t="n">
        <v>0.18</v>
      </c>
      <c r="C14" t="inlineStr">
        <is>
          <t>Supuesto ajustable</t>
        </is>
      </c>
    </row>
    <row r="15">
      <c r="A15" t="inlineStr">
        <is>
          <t>Plazo préstamo (meses)</t>
        </is>
      </c>
      <c r="B15" s="3" t="n">
        <v>24</v>
      </c>
      <c r="C15" t="inlineStr">
        <is>
          <t>Supuesto ajustable</t>
        </is>
      </c>
    </row>
    <row r="16">
      <c r="A16" t="inlineStr">
        <is>
          <t>Costo de capital de inversión asignado</t>
        </is>
      </c>
      <c r="B16" s="4" t="n">
        <v>1</v>
      </c>
      <c r="C16" t="inlineStr">
        <is>
          <t>Fracción inversión inicial imputada al proyecto (0 a 1)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" defaultRowHeight="14.25" outlineLevelCol="0"/>
  <cols>
    <col width="22" customWidth="1" min="1" max="1"/>
    <col width="23" customWidth="1" min="2" max="2"/>
    <col width="20" customWidth="1" min="3" max="3"/>
    <col width="23" customWidth="1" min="4" max="4"/>
    <col width="76" customWidth="1" min="5" max="5"/>
  </cols>
  <sheetData>
    <row r="1" ht="35.1" customHeight="1">
      <c r="A1" s="1" t="inlineStr">
        <is>
          <t>Límite inferior</t>
        </is>
      </c>
      <c r="B1" s="1" t="inlineStr">
        <is>
          <t>Límite superior</t>
        </is>
      </c>
      <c r="C1" s="1" t="inlineStr">
        <is>
          <t>Cuota fija</t>
        </is>
      </c>
      <c r="D1" s="1" t="inlineStr">
        <is>
          <t>Tasa excedente</t>
        </is>
      </c>
      <c r="E1" s="1" t="inlineStr">
        <is>
          <t>Fuente / aplicación</t>
        </is>
      </c>
    </row>
    <row r="2">
      <c r="A2" t="n">
        <v>0.01</v>
      </c>
      <c r="B2" t="n">
        <v>844.59</v>
      </c>
      <c r="C2" t="n">
        <v>0</v>
      </c>
      <c r="D2" s="5" t="n">
        <v>0.0192</v>
      </c>
      <c r="E2" t="inlineStr">
        <is>
          <t>SAT / DOF Anexo 8 RMF 2026, retención mensual salarios</t>
        </is>
      </c>
    </row>
    <row r="3">
      <c r="A3" t="n">
        <v>844.6</v>
      </c>
      <c r="B3" t="n">
        <v>7168.51</v>
      </c>
      <c r="C3" t="n">
        <v>16.22</v>
      </c>
      <c r="D3" s="5" t="n">
        <v>0.064</v>
      </c>
      <c r="E3" t="inlineStr">
        <is>
          <t>SAT / DOF Anexo 8 RMF 2026, retención mensual salarios</t>
        </is>
      </c>
    </row>
    <row r="4">
      <c r="A4" t="n">
        <v>7168.52</v>
      </c>
      <c r="B4" t="n">
        <v>12598.02</v>
      </c>
      <c r="C4" t="n">
        <v>420.95</v>
      </c>
      <c r="D4" s="5" t="n">
        <v>0.1088</v>
      </c>
      <c r="E4" t="inlineStr">
        <is>
          <t>SAT / DOF Anexo 8 RMF 2026, retención mensual salarios</t>
        </is>
      </c>
    </row>
    <row r="5">
      <c r="A5" t="n">
        <v>12598.03</v>
      </c>
      <c r="B5" t="n">
        <v>14644.64</v>
      </c>
      <c r="C5" t="n">
        <v>1011.68</v>
      </c>
      <c r="D5" s="5" t="n">
        <v>0.16</v>
      </c>
      <c r="E5" t="inlineStr">
        <is>
          <t>SAT / DOF Anexo 8 RMF 2026, retención mensual salarios</t>
        </is>
      </c>
    </row>
    <row r="6">
      <c r="A6" t="n">
        <v>14644.65</v>
      </c>
      <c r="B6" t="n">
        <v>17533.64</v>
      </c>
      <c r="C6" t="n">
        <v>1339.14</v>
      </c>
      <c r="D6" s="5" t="n">
        <v>0.1792</v>
      </c>
      <c r="E6" t="inlineStr">
        <is>
          <t>SAT / DOF Anexo 8 RMF 2026, retención mensual salarios</t>
        </is>
      </c>
    </row>
    <row r="7">
      <c r="A7" t="n">
        <v>17533.65</v>
      </c>
      <c r="B7" t="n">
        <v>35362.83</v>
      </c>
      <c r="C7" t="n">
        <v>1856.84</v>
      </c>
      <c r="D7" s="5" t="n">
        <v>0.2136</v>
      </c>
      <c r="E7" t="inlineStr">
        <is>
          <t>SAT / DOF Anexo 8 RMF 2026, retención mensual salarios</t>
        </is>
      </c>
    </row>
    <row r="8">
      <c r="A8" t="n">
        <v>35362.84</v>
      </c>
      <c r="B8" t="n">
        <v>55736.68</v>
      </c>
      <c r="C8" t="n">
        <v>5665.16</v>
      </c>
      <c r="D8" s="5" t="n">
        <v>0.2352</v>
      </c>
      <c r="E8" t="inlineStr">
        <is>
          <t>SAT / DOF Anexo 8 RMF 2026, retención mensual salarios</t>
        </is>
      </c>
    </row>
    <row r="9">
      <c r="A9" t="n">
        <v>55736.69</v>
      </c>
      <c r="B9" t="n">
        <v>106410.5</v>
      </c>
      <c r="C9" t="n">
        <v>10457.09</v>
      </c>
      <c r="D9" s="5" t="n">
        <v>0.3</v>
      </c>
      <c r="E9" t="inlineStr">
        <is>
          <t>SAT / DOF Anexo 8 RMF 2026, retención mensual salarios</t>
        </is>
      </c>
    </row>
    <row r="10">
      <c r="A10" t="n">
        <v>106410.51</v>
      </c>
      <c r="B10" t="n">
        <v>141880.66</v>
      </c>
      <c r="C10" t="n">
        <v>25659.23</v>
      </c>
      <c r="D10" s="5" t="n">
        <v>0.32</v>
      </c>
      <c r="E10" t="inlineStr">
        <is>
          <t>SAT / DOF Anexo 8 RMF 2026, retención mensual salarios</t>
        </is>
      </c>
    </row>
    <row r="11">
      <c r="A11" t="n">
        <v>141880.67</v>
      </c>
      <c r="B11" t="n">
        <v>425641.99</v>
      </c>
      <c r="C11" t="n">
        <v>37009.69</v>
      </c>
      <c r="D11" s="5" t="n">
        <v>0.34</v>
      </c>
      <c r="E11" t="inlineStr">
        <is>
          <t>SAT / DOF Anexo 8 RMF 2026, retención mensual salarios</t>
        </is>
      </c>
    </row>
    <row r="12">
      <c r="A12" t="n">
        <v>425642</v>
      </c>
      <c r="B12" t="n">
        <v>999999999</v>
      </c>
      <c r="C12" t="n">
        <v>133488.54</v>
      </c>
      <c r="D12" s="5" t="n">
        <v>0.35</v>
      </c>
      <c r="E12" t="inlineStr">
        <is>
          <t>SAT / DOF Anexo 8 RMF 2026, retención mensual salarios</t>
        </is>
      </c>
    </row>
    <row r="15">
      <c r="A15" t="inlineStr">
        <is>
          <t>Referencia oficial: https://sidof.segob.gob.mx/notas/docFuente/5777219</t>
        </is>
      </c>
    </row>
    <row r="16">
      <c r="A16" t="inlineStr">
        <is>
          <t>No equivale a ISR empresarial sobre utilidades. ISR se retiene al trabajador.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workbookViewId="0">
      <pane ySplit="1" topLeftCell="A2" activePane="bottomLeft" state="frozen"/>
      <selection pane="bottomLeft" activeCell="C6" sqref="C6"/>
    </sheetView>
  </sheetViews>
  <sheetFormatPr baseColWidth="10" defaultColWidth="9" defaultRowHeight="14.25" outlineLevelCol="0"/>
  <cols>
    <col width="29" customWidth="1" min="1" max="1"/>
    <col width="23" customWidth="1" min="2" max="2"/>
    <col width="13" customWidth="1" min="3" max="3"/>
    <col width="21" customWidth="1" min="4" max="4"/>
    <col width="19" customWidth="1" min="5" max="5"/>
    <col width="16" customWidth="1" min="6" max="6"/>
    <col width="22" customWidth="1" min="7" max="7"/>
    <col width="20" customWidth="1" min="8" max="8"/>
    <col width="23" customWidth="1" min="9" max="9"/>
    <col width="22" customWidth="1" min="10" max="10"/>
    <col width="19" customWidth="1" min="11" max="11"/>
    <col width="17" customWidth="1" min="12" max="12"/>
  </cols>
  <sheetData>
    <row r="1" ht="35.1" customHeight="1">
      <c r="A1" s="1" t="inlineStr">
        <is>
          <t>Puesto</t>
        </is>
      </c>
      <c r="B1" s="1" t="inlineStr">
        <is>
          <t>Sueldo mensual / persona</t>
        </is>
      </c>
      <c r="C1" s="1" t="inlineStr">
        <is>
          <t>Personas</t>
        </is>
      </c>
      <c r="D1" s="1" t="inlineStr">
        <is>
          <t>Sueldo bruto total</t>
        </is>
      </c>
      <c r="E1" s="1" t="inlineStr">
        <is>
          <t>ISR por persona</t>
        </is>
      </c>
      <c r="F1" s="1" t="inlineStr">
        <is>
          <t>ISR total</t>
        </is>
      </c>
      <c r="G1" s="1" t="inlineStr">
        <is>
          <t>Subsidio por persona</t>
        </is>
      </c>
      <c r="H1" s="1" t="inlineStr">
        <is>
          <t>Neto mensual total</t>
        </is>
      </c>
      <c r="I1" s="1" t="inlineStr">
        <is>
          <t>Carga patronal estimada</t>
        </is>
      </c>
      <c r="J1" s="1" t="inlineStr">
        <is>
          <t>Costo mensual empresa</t>
        </is>
      </c>
      <c r="K1" s="1" t="inlineStr">
        <is>
          <t>Horas mes equipo</t>
        </is>
      </c>
      <c r="L1" s="1" t="inlineStr">
        <is>
          <t>Costo por hora</t>
        </is>
      </c>
    </row>
    <row r="2">
      <c r="A2" t="inlineStr">
        <is>
          <t>Scrum Master / líder</t>
        </is>
      </c>
      <c r="B2" s="8" t="n">
        <v>36000</v>
      </c>
      <c r="C2" s="3" t="n">
        <v>1</v>
      </c>
      <c r="D2">
        <f>B2*C2</f>
        <v/>
      </c>
      <c r="E2">
        <f>IF(B2&lt;=0,0,ROUND(INDEX('ISR 2026 MENSUAL'!$C$2:$C$12,MATCH(B2,'ISR 2026 MENSUAL'!$A$2:$A$12,1))+(B2-INDEX('ISR 2026 MENSUAL'!$A$2:$A$12,MATCH(B2,'ISR 2026 MENSUAL'!$A$2:$A$12,1)))*INDEX('ISR 2026 MENSUAL'!$D$2:$D$12,MATCH(B2,'ISR 2026 MENSUAL'!$A$2:$A$12,1)),2))</f>
        <v/>
      </c>
      <c r="F2">
        <f>MAX(0,(E2-G2)*C2)</f>
        <v/>
      </c>
      <c r="G2">
        <f>IF(AND(B2&gt;0,B2&lt;=PARAMETROS!$B$12),MIN(E2,PARAMETROS!$B$13),0)</f>
        <v/>
      </c>
      <c r="H2">
        <f>D2-F2</f>
        <v/>
      </c>
      <c r="I2">
        <f>D2*PARAMETROS!$B$9</f>
        <v/>
      </c>
      <c r="J2">
        <f>D2+I2</f>
        <v/>
      </c>
      <c r="K2">
        <f>C2*PARAMETROS!$B$10</f>
        <v/>
      </c>
      <c r="L2">
        <f>IFERROR(J2/K2,0)</f>
        <v/>
      </c>
    </row>
    <row r="3">
      <c r="A3" t="inlineStr">
        <is>
          <t>Desarrollador frontend</t>
        </is>
      </c>
      <c r="B3" s="3" t="n">
        <v>20000</v>
      </c>
      <c r="C3" s="3" t="n">
        <v>1</v>
      </c>
      <c r="D3">
        <f>B3*C3</f>
        <v/>
      </c>
      <c r="E3">
        <f>IF(B3&lt;=0,0,ROUND(INDEX('ISR 2026 MENSUAL'!$C$2:$C$12,MATCH(B3,'ISR 2026 MENSUAL'!$A$2:$A$12,1))+(B3-INDEX('ISR 2026 MENSUAL'!$A$2:$A$12,MATCH(B3,'ISR 2026 MENSUAL'!$A$2:$A$12,1)))*INDEX('ISR 2026 MENSUAL'!$D$2:$D$12,MATCH(B3,'ISR 2026 MENSUAL'!$A$2:$A$12,1)),2))</f>
        <v/>
      </c>
      <c r="F3">
        <f>MAX(0,(E3-G3)*C3)</f>
        <v/>
      </c>
      <c r="G3">
        <f>IF(AND(B3&gt;0,B3&lt;=PARAMETROS!$B$12),MIN(E3,PARAMETROS!$B$13),0)</f>
        <v/>
      </c>
      <c r="H3">
        <f>D3-F3</f>
        <v/>
      </c>
      <c r="I3">
        <f>D3*PARAMETROS!$B$9</f>
        <v/>
      </c>
      <c r="J3">
        <f>D3+I3</f>
        <v/>
      </c>
      <c r="K3">
        <f>C3*PARAMETROS!$B$10</f>
        <v/>
      </c>
      <c r="L3">
        <f>IFERROR(J3/K3,0)</f>
        <v/>
      </c>
    </row>
    <row r="4">
      <c r="A4" t="inlineStr">
        <is>
          <t>Desarrollador backend</t>
        </is>
      </c>
      <c r="B4" s="3" t="n">
        <v>20000</v>
      </c>
      <c r="C4" s="3" t="n">
        <v>1</v>
      </c>
      <c r="D4">
        <f>B4*C4</f>
        <v/>
      </c>
      <c r="E4">
        <f>IF(B4&lt;=0,0,ROUND(INDEX('ISR 2026 MENSUAL'!$C$2:$C$12,MATCH(B4,'ISR 2026 MENSUAL'!$A$2:$A$12,1))+(B4-INDEX('ISR 2026 MENSUAL'!$A$2:$A$12,MATCH(B4,'ISR 2026 MENSUAL'!$A$2:$A$12,1)))*INDEX('ISR 2026 MENSUAL'!$D$2:$D$12,MATCH(B4,'ISR 2026 MENSUAL'!$A$2:$A$12,1)),2))</f>
        <v/>
      </c>
      <c r="F4">
        <f>MAX(0,(E4-G4)*C4)</f>
        <v/>
      </c>
      <c r="G4">
        <f>IF(AND(B4&gt;0,B4&lt;=PARAMETROS!$B$12),MIN(E4,PARAMETROS!$B$13),0)</f>
        <v/>
      </c>
      <c r="H4">
        <f>D4-F4</f>
        <v/>
      </c>
      <c r="I4">
        <f>D4*PARAMETROS!$B$9</f>
        <v/>
      </c>
      <c r="J4">
        <f>D4+I4</f>
        <v/>
      </c>
      <c r="K4">
        <f>C4*PARAMETROS!$B$10</f>
        <v/>
      </c>
      <c r="L4">
        <f>IFERROR(J4/K4,0)</f>
        <v/>
      </c>
    </row>
    <row r="5">
      <c r="A5" t="inlineStr">
        <is>
          <t>Product Owner / analista</t>
        </is>
      </c>
      <c r="B5" s="3" t="n"/>
      <c r="C5" s="3" t="n"/>
      <c r="D5">
        <f>B5*C5</f>
        <v/>
      </c>
      <c r="E5">
        <f>IF(B5&lt;=0,0,ROUND(INDEX('ISR 2026 MENSUAL'!$C$2:$C$12,MATCH(B5,'ISR 2026 MENSUAL'!$A$2:$A$12,1))+(B5-INDEX('ISR 2026 MENSUAL'!$A$2:$A$12,MATCH(B5,'ISR 2026 MENSUAL'!$A$2:$A$12,1)))*INDEX('ISR 2026 MENSUAL'!$D$2:$D$12,MATCH(B5,'ISR 2026 MENSUAL'!$A$2:$A$12,1)),2))</f>
        <v/>
      </c>
      <c r="F5">
        <f>MAX(0,(E5-G5)*C5)</f>
        <v/>
      </c>
      <c r="G5">
        <f>IF(AND(B5&gt;0,B5&lt;=PARAMETROS!$B$12),MIN(E5,PARAMETROS!$B$13),0)</f>
        <v/>
      </c>
      <c r="H5">
        <f>D5-F5</f>
        <v/>
      </c>
      <c r="I5">
        <f>D5*PARAMETROS!$B$9</f>
        <v/>
      </c>
      <c r="J5">
        <f>D5+I5</f>
        <v/>
      </c>
      <c r="K5">
        <f>C5*PARAMETROS!$B$10</f>
        <v/>
      </c>
      <c r="L5">
        <f>IFERROR(J5/K5,0)</f>
        <v/>
      </c>
    </row>
    <row r="6">
      <c r="A6" t="inlineStr">
        <is>
          <t>Diseñador UX/UI</t>
        </is>
      </c>
      <c r="B6" s="3" t="n"/>
      <c r="C6" s="3" t="n"/>
      <c r="D6">
        <f>B6*C6</f>
        <v/>
      </c>
      <c r="E6">
        <f>IF(B6&lt;=0,0,ROUND(INDEX('ISR 2026 MENSUAL'!$C$2:$C$12,MATCH(B6,'ISR 2026 MENSUAL'!$A$2:$A$12,1))+(B6-INDEX('ISR 2026 MENSUAL'!$A$2:$A$12,MATCH(B6,'ISR 2026 MENSUAL'!$A$2:$A$12,1)))*INDEX('ISR 2026 MENSUAL'!$D$2:$D$12,MATCH(B6,'ISR 2026 MENSUAL'!$A$2:$A$12,1)),2))</f>
        <v/>
      </c>
      <c r="F6">
        <f>MAX(0,(E6-G6)*C6)</f>
        <v/>
      </c>
      <c r="G6">
        <f>IF(AND(B6&gt;0,B6&lt;=PARAMETROS!$B$12),MIN(E6,PARAMETROS!$B$13),0)</f>
        <v/>
      </c>
      <c r="H6">
        <f>D6-F6</f>
        <v/>
      </c>
      <c r="I6">
        <f>D6*PARAMETROS!$B$9</f>
        <v/>
      </c>
      <c r="J6">
        <f>D6+I6</f>
        <v/>
      </c>
      <c r="K6">
        <f>C6*PARAMETROS!$B$10</f>
        <v/>
      </c>
      <c r="L6">
        <f>IFERROR(J6/K6,0)</f>
        <v/>
      </c>
    </row>
    <row r="7">
      <c r="A7" t="inlineStr">
        <is>
          <t>QA / pruebas</t>
        </is>
      </c>
      <c r="B7" s="3" t="n">
        <v>13500</v>
      </c>
      <c r="C7" s="3" t="n">
        <v>1</v>
      </c>
      <c r="D7">
        <f>B7*C7</f>
        <v/>
      </c>
      <c r="E7">
        <f>IF(B7&lt;=0,0,ROUND(INDEX('ISR 2026 MENSUAL'!$C$2:$C$12,MATCH(B7,'ISR 2026 MENSUAL'!$A$2:$A$12,1))+(B7-INDEX('ISR 2026 MENSUAL'!$A$2:$A$12,MATCH(B7,'ISR 2026 MENSUAL'!$A$2:$A$12,1)))*INDEX('ISR 2026 MENSUAL'!$D$2:$D$12,MATCH(B7,'ISR 2026 MENSUAL'!$A$2:$A$12,1)),2))</f>
        <v/>
      </c>
      <c r="F7">
        <f>MAX(0,(E7-G7)*C7)</f>
        <v/>
      </c>
      <c r="G7">
        <f>IF(AND(B7&gt;0,B7&lt;=PARAMETROS!$B$12),MIN(E7,PARAMETROS!$B$13),0)</f>
        <v/>
      </c>
      <c r="H7">
        <f>D7-F7</f>
        <v/>
      </c>
      <c r="I7">
        <f>D7*PARAMETROS!$B$9</f>
        <v/>
      </c>
      <c r="J7">
        <f>D7+I7</f>
        <v/>
      </c>
      <c r="K7">
        <f>C7*PARAMETROS!$B$10</f>
        <v/>
      </c>
      <c r="L7">
        <f>IFERROR(J7/K7,0)</f>
        <v/>
      </c>
    </row>
    <row r="8">
      <c r="A8" t="inlineStr">
        <is>
          <t>Administrador BD</t>
        </is>
      </c>
      <c r="B8" s="3" t="n"/>
      <c r="C8" s="3" t="n"/>
      <c r="D8">
        <f>B8*C8</f>
        <v/>
      </c>
      <c r="E8">
        <f>IF(B8&lt;=0,0,ROUND(INDEX('ISR 2026 MENSUAL'!$C$2:$C$12,MATCH(B8,'ISR 2026 MENSUAL'!$A$2:$A$12,1))+(B8-INDEX('ISR 2026 MENSUAL'!$A$2:$A$12,MATCH(B8,'ISR 2026 MENSUAL'!$A$2:$A$12,1)))*INDEX('ISR 2026 MENSUAL'!$D$2:$D$12,MATCH(B8,'ISR 2026 MENSUAL'!$A$2:$A$12,1)),2))</f>
        <v/>
      </c>
      <c r="F8">
        <f>MAX(0,(E8-G8)*C8)</f>
        <v/>
      </c>
      <c r="G8">
        <f>IF(AND(B8&gt;0,B8&lt;=PARAMETROS!$B$12),MIN(E8,PARAMETROS!$B$13),0)</f>
        <v/>
      </c>
      <c r="H8">
        <f>D8-F8</f>
        <v/>
      </c>
      <c r="I8">
        <f>D8*PARAMETROS!$B$9</f>
        <v/>
      </c>
      <c r="J8">
        <f>D8+I8</f>
        <v/>
      </c>
      <c r="K8">
        <f>C8*PARAMETROS!$B$10</f>
        <v/>
      </c>
      <c r="L8">
        <f>IFERROR(J8/K8,0)</f>
        <v/>
      </c>
    </row>
    <row r="9">
      <c r="A9" t="inlineStr">
        <is>
          <t>DevOps / nube</t>
        </is>
      </c>
      <c r="B9" s="3" t="n"/>
      <c r="C9" s="3" t="n"/>
      <c r="D9">
        <f>B9*C9</f>
        <v/>
      </c>
      <c r="E9">
        <f>IF(B9&lt;=0,0,ROUND(INDEX('ISR 2026 MENSUAL'!$C$2:$C$12,MATCH(B9,'ISR 2026 MENSUAL'!$A$2:$A$12,1))+(B9-INDEX('ISR 2026 MENSUAL'!$A$2:$A$12,MATCH(B9,'ISR 2026 MENSUAL'!$A$2:$A$12,1)))*INDEX('ISR 2026 MENSUAL'!$D$2:$D$12,MATCH(B9,'ISR 2026 MENSUAL'!$A$2:$A$12,1)),2))</f>
        <v/>
      </c>
      <c r="F9">
        <f>MAX(0,(E9-G9)*C9)</f>
        <v/>
      </c>
      <c r="G9">
        <f>IF(AND(B9&gt;0,B9&lt;=PARAMETROS!$B$12),MIN(E9,PARAMETROS!$B$13),0)</f>
        <v/>
      </c>
      <c r="H9">
        <f>D9-F9</f>
        <v/>
      </c>
      <c r="I9">
        <f>D9*PARAMETROS!$B$9</f>
        <v/>
      </c>
      <c r="J9">
        <f>D9+I9</f>
        <v/>
      </c>
      <c r="K9">
        <f>C9*PARAMETROS!$B$10</f>
        <v/>
      </c>
      <c r="L9">
        <f>IFERROR(J9/K9,0)</f>
        <v/>
      </c>
    </row>
    <row r="10">
      <c r="A10" t="inlineStr">
        <is>
          <t>Soporte / documentación</t>
        </is>
      </c>
      <c r="B10" s="3" t="n"/>
      <c r="C10" s="3" t="n"/>
      <c r="D10">
        <f>B10*C10</f>
        <v/>
      </c>
      <c r="E10">
        <f>IF(B10&lt;=0,0,ROUND(INDEX('ISR 2026 MENSUAL'!$C$2:$C$12,MATCH(B10,'ISR 2026 MENSUAL'!$A$2:$A$12,1))+(B10-INDEX('ISR 2026 MENSUAL'!$A$2:$A$12,MATCH(B10,'ISR 2026 MENSUAL'!$A$2:$A$12,1)))*INDEX('ISR 2026 MENSUAL'!$D$2:$D$12,MATCH(B10,'ISR 2026 MENSUAL'!$A$2:$A$12,1)),2))</f>
        <v/>
      </c>
      <c r="F10">
        <f>MAX(0,(E10-G10)*C10)</f>
        <v/>
      </c>
      <c r="G10">
        <f>IF(AND(B10&gt;0,B10&lt;=PARAMETROS!$B$12),MIN(E10,PARAMETROS!$B$13),0)</f>
        <v/>
      </c>
      <c r="H10">
        <f>D10-F10</f>
        <v/>
      </c>
      <c r="I10">
        <f>D10*PARAMETROS!$B$9</f>
        <v/>
      </c>
      <c r="J10">
        <f>D10+I10</f>
        <v/>
      </c>
      <c r="K10">
        <f>C10*PARAMETROS!$B$10</f>
        <v/>
      </c>
      <c r="L10">
        <f>IFERROR(J10/K10,0)</f>
        <v/>
      </c>
    </row>
    <row r="11">
      <c r="A11" t="inlineStr">
        <is>
          <t>Otro 1</t>
        </is>
      </c>
      <c r="B11" s="3" t="n"/>
      <c r="C11" s="3" t="n"/>
      <c r="D11">
        <f>B11*C11</f>
        <v/>
      </c>
      <c r="E11">
        <f>IF(B11&lt;=0,0,ROUND(INDEX('ISR 2026 MENSUAL'!$C$2:$C$12,MATCH(B11,'ISR 2026 MENSUAL'!$A$2:$A$12,1))+(B11-INDEX('ISR 2026 MENSUAL'!$A$2:$A$12,MATCH(B11,'ISR 2026 MENSUAL'!$A$2:$A$12,1)))*INDEX('ISR 2026 MENSUAL'!$D$2:$D$12,MATCH(B11,'ISR 2026 MENSUAL'!$A$2:$A$12,1)),2))</f>
        <v/>
      </c>
      <c r="F11">
        <f>MAX(0,(E11-G11)*C11)</f>
        <v/>
      </c>
      <c r="G11">
        <f>IF(AND(B11&gt;0,B11&lt;=PARAMETROS!$B$12),MIN(E11,PARAMETROS!$B$13),0)</f>
        <v/>
      </c>
      <c r="H11">
        <f>D11-F11</f>
        <v/>
      </c>
      <c r="I11">
        <f>D11*PARAMETROS!$B$9</f>
        <v/>
      </c>
      <c r="J11">
        <f>D11+I11</f>
        <v/>
      </c>
      <c r="K11">
        <f>C11*PARAMETROS!$B$10</f>
        <v/>
      </c>
      <c r="L11">
        <f>IFERROR(J11/K11,0)</f>
        <v/>
      </c>
    </row>
    <row r="12">
      <c r="A12" t="inlineStr">
        <is>
          <t>Otro 2</t>
        </is>
      </c>
      <c r="B12" s="3" t="n"/>
      <c r="C12" s="3" t="n"/>
      <c r="D12">
        <f>B12*C12</f>
        <v/>
      </c>
      <c r="E12">
        <f>IF(B12&lt;=0,0,ROUND(INDEX('ISR 2026 MENSUAL'!$C$2:$C$12,MATCH(B12,'ISR 2026 MENSUAL'!$A$2:$A$12,1))+(B12-INDEX('ISR 2026 MENSUAL'!$A$2:$A$12,MATCH(B12,'ISR 2026 MENSUAL'!$A$2:$A$12,1)))*INDEX('ISR 2026 MENSUAL'!$D$2:$D$12,MATCH(B12,'ISR 2026 MENSUAL'!$A$2:$A$12,1)),2))</f>
        <v/>
      </c>
      <c r="F12">
        <f>MAX(0,(E12-G12)*C12)</f>
        <v/>
      </c>
      <c r="G12">
        <f>IF(AND(B12&gt;0,B12&lt;=PARAMETROS!$B$12),MIN(E12,PARAMETROS!$B$13),0)</f>
        <v/>
      </c>
      <c r="H12">
        <f>D12-F12</f>
        <v/>
      </c>
      <c r="I12">
        <f>D12*PARAMETROS!$B$9</f>
        <v/>
      </c>
      <c r="J12">
        <f>D12+I12</f>
        <v/>
      </c>
      <c r="K12">
        <f>C12*PARAMETROS!$B$10</f>
        <v/>
      </c>
      <c r="L12">
        <f>IFERROR(J12/K12,0)</f>
        <v/>
      </c>
    </row>
    <row r="13">
      <c r="A13" t="inlineStr">
        <is>
          <t>Otro 3</t>
        </is>
      </c>
      <c r="B13" s="3" t="n"/>
      <c r="C13" s="3" t="n"/>
      <c r="D13">
        <f>B13*C13</f>
        <v/>
      </c>
      <c r="E13">
        <f>IF(B13&lt;=0,0,ROUND(INDEX('ISR 2026 MENSUAL'!$C$2:$C$12,MATCH(B13,'ISR 2026 MENSUAL'!$A$2:$A$12,1))+(B13-INDEX('ISR 2026 MENSUAL'!$A$2:$A$12,MATCH(B13,'ISR 2026 MENSUAL'!$A$2:$A$12,1)))*INDEX('ISR 2026 MENSUAL'!$D$2:$D$12,MATCH(B13,'ISR 2026 MENSUAL'!$A$2:$A$12,1)),2))</f>
        <v/>
      </c>
      <c r="F13">
        <f>MAX(0,(E13-G13)*C13)</f>
        <v/>
      </c>
      <c r="G13">
        <f>IF(AND(B13&gt;0,B13&lt;=PARAMETROS!$B$12),MIN(E13,PARAMETROS!$B$13),0)</f>
        <v/>
      </c>
      <c r="H13">
        <f>D13-F13</f>
        <v/>
      </c>
      <c r="I13">
        <f>D13*PARAMETROS!$B$9</f>
        <v/>
      </c>
      <c r="J13">
        <f>D13+I13</f>
        <v/>
      </c>
      <c r="K13">
        <f>C13*PARAMETROS!$B$10</f>
        <v/>
      </c>
      <c r="L13">
        <f>IFERROR(J13/K13,0)</f>
        <v/>
      </c>
    </row>
    <row r="15">
      <c r="A15" t="inlineStr">
        <is>
          <t>TOTAL MENSUAL</t>
        </is>
      </c>
      <c r="D15">
        <f>SUM(D2:D13)</f>
        <v/>
      </c>
      <c r="F15">
        <f>SUM(F2:F13)</f>
        <v/>
      </c>
      <c r="H15">
        <f>SUM(H2:H13)</f>
        <v/>
      </c>
      <c r="I15">
        <f>SUM(I2:I13)</f>
        <v/>
      </c>
      <c r="J15">
        <f>SUM(J2:J13)</f>
        <v/>
      </c>
      <c r="K15">
        <f>SUM(K2:K13)</f>
        <v/>
      </c>
    </row>
    <row r="17">
      <c r="A17" t="inlineStr">
        <is>
          <t>ISR = retención al trabajador, no costo patronal adicional.</t>
        </is>
      </c>
    </row>
    <row r="18">
      <c r="A18" t="inlineStr">
        <is>
          <t>Carga patronal: estimación académica configurable; no sustituye cálculo IMSS con SBC, prima riesgo y cuotas reales.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" defaultRowHeight="14.25" outlineLevelCol="0"/>
  <cols>
    <col width="33" customWidth="1" min="1" max="1"/>
    <col width="20" customWidth="1" min="2" max="2"/>
    <col width="21" customWidth="1" min="3" max="3"/>
    <col width="25" customWidth="1" min="4" max="4"/>
    <col width="75" customWidth="1" min="5" max="5"/>
  </cols>
  <sheetData>
    <row r="1" ht="35.1" customHeight="1">
      <c r="A1" s="1" t="inlineStr">
        <is>
          <t>Concepto</t>
        </is>
      </c>
      <c r="B1" s="1" t="inlineStr">
        <is>
          <t>Mensual MXN</t>
        </is>
      </c>
      <c r="C1" s="1" t="inlineStr">
        <is>
          <t>Meses imputados</t>
        </is>
      </c>
      <c r="D1" s="1" t="inlineStr">
        <is>
          <t>Total del proyecto</t>
        </is>
      </c>
      <c r="E1" s="1" t="inlineStr">
        <is>
          <t>Criterio</t>
        </is>
      </c>
    </row>
    <row r="2">
      <c r="A2" t="inlineStr">
        <is>
          <t>Renta / espacio</t>
        </is>
      </c>
      <c r="B2" s="3" t="n">
        <v>6000</v>
      </c>
      <c r="C2">
        <f>PARAMETROS!$B$4</f>
        <v/>
      </c>
      <c r="D2">
        <f>B2*C2</f>
        <v/>
      </c>
      <c r="E2" t="inlineStr">
        <is>
          <t>Espacio de trabajo colaborativo/coworking y sala de juntas para reuniones de sprint y trabajo presencial</t>
        </is>
      </c>
    </row>
    <row r="3">
      <c r="A3" t="inlineStr">
        <is>
          <t>Electricidad</t>
        </is>
      </c>
      <c r="B3" s="3" t="n">
        <v>1200</v>
      </c>
      <c r="C3">
        <f>PARAMETROS!$B$4</f>
        <v/>
      </c>
      <c r="D3">
        <f>B3*C3</f>
        <v/>
      </c>
      <c r="E3" t="inlineStr">
        <is>
          <t>Consumo eléctrico de estaciones de cómputo, servidores de desarrollo local y climatización</t>
        </is>
      </c>
    </row>
    <row r="4">
      <c r="A4" t="inlineStr">
        <is>
          <t>Internet / telefonía</t>
        </is>
      </c>
      <c r="B4" s="3" t="n">
        <v>1500</v>
      </c>
      <c r="C4">
        <f>PARAMETROS!$B$4</f>
        <v/>
      </c>
      <c r="D4">
        <f>B4*C4</f>
        <v/>
      </c>
      <c r="E4" t="inlineStr">
        <is>
          <t>Enlace empresarial simétrico de fibra óptica 500 Mbps con IP fija para pruebas y telefonía IP</t>
        </is>
      </c>
    </row>
    <row r="5">
      <c r="A5" t="inlineStr">
        <is>
          <t>Administración y contabilidad</t>
        </is>
      </c>
      <c r="B5" s="3" t="n">
        <v>2500</v>
      </c>
      <c r="C5">
        <f>PARAMETROS!$B$4</f>
        <v/>
      </c>
      <c r="D5">
        <f>B5*C5</f>
        <v/>
      </c>
      <c r="E5" t="inlineStr">
        <is>
          <t>Servicios de despacho contable externo, dispersión de nóminas, timbrado de CFDI y declaraciones SAT</t>
        </is>
      </c>
    </row>
    <row r="6">
      <c r="A6" t="inlineStr">
        <is>
          <t>Herramientas compartidas</t>
        </is>
      </c>
      <c r="B6" s="3" t="n">
        <v>1800</v>
      </c>
      <c r="C6">
        <f>PARAMETROS!$B$4</f>
        <v/>
      </c>
      <c r="D6">
        <f>B6*C6</f>
        <v/>
      </c>
      <c r="E6" t="inlineStr">
        <is>
          <t>Suscripciones compartidas de equipo: Google Workspace, Slack Pro, Notion Team y Figma Professional</t>
        </is>
      </c>
    </row>
    <row r="7">
      <c r="A7" t="inlineStr">
        <is>
          <t>Publicidad / ventas</t>
        </is>
      </c>
      <c r="B7" s="3" t="n">
        <v>1000</v>
      </c>
      <c r="C7">
        <f>PARAMETROS!$B$4</f>
        <v/>
      </c>
      <c r="D7">
        <f>B7*C7</f>
        <v/>
      </c>
      <c r="E7" t="inlineStr">
        <is>
          <t>Gastos comerciales de gestión de cuenta, demostraciones en sitio con el cliente y material de presentación</t>
        </is>
      </c>
    </row>
    <row r="8">
      <c r="A8" t="inlineStr">
        <is>
          <t>Otros gastos fijos</t>
        </is>
      </c>
      <c r="B8" s="3" t="n">
        <v>1000</v>
      </c>
      <c r="C8">
        <f>PARAMETROS!$B$4</f>
        <v/>
      </c>
      <c r="D8">
        <f>B8*C8</f>
        <v/>
      </c>
      <c r="E8" t="inlineStr">
        <is>
          <t>Mantenimiento preventivo, artículos de limpieza, papelería técnica y suministros de oficina</t>
        </is>
      </c>
    </row>
    <row r="9">
      <c r="A9" t="inlineStr">
        <is>
          <t>TOTAL GASTOS FIJOS</t>
        </is>
      </c>
      <c r="D9">
        <f>SUM(D2:D8)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" defaultRowHeight="14.25" outlineLevelCol="0"/>
  <cols>
    <col width="33" customWidth="1" min="1" max="1"/>
    <col width="20" customWidth="1" min="2" max="2"/>
    <col width="23" customWidth="1" min="3" max="3"/>
    <col width="22" customWidth="1" min="4" max="4"/>
    <col width="23" customWidth="1" min="5" max="5"/>
    <col width="74" customWidth="1" min="6" max="6"/>
  </cols>
  <sheetData>
    <row r="1" ht="35.1" customHeight="1">
      <c r="A1" s="1" t="inlineStr">
        <is>
          <t>Concepto</t>
        </is>
      </c>
      <c r="B1" s="1" t="inlineStr">
        <is>
          <t>Unidad</t>
        </is>
      </c>
      <c r="C1" s="1" t="inlineStr">
        <is>
          <t>Cantidad por proyecto</t>
        </is>
      </c>
      <c r="D1" s="1" t="inlineStr">
        <is>
          <t>Costo unitario</t>
        </is>
      </c>
      <c r="E1" s="1" t="inlineStr">
        <is>
          <t>Costo total</t>
        </is>
      </c>
      <c r="F1" s="1" t="inlineStr">
        <is>
          <t>Notas</t>
        </is>
      </c>
    </row>
    <row r="2">
      <c r="A2" t="inlineStr">
        <is>
          <t>Servicios de nube / hosting</t>
        </is>
      </c>
      <c r="B2" s="3" t="inlineStr">
        <is>
          <t>Meses</t>
        </is>
      </c>
      <c r="C2" s="3" t="n">
        <v>4</v>
      </c>
      <c r="D2" s="3" t="n">
        <v>1800</v>
      </c>
      <c r="E2">
        <f>C2*D2</f>
        <v/>
      </c>
      <c r="F2" t="inlineStr">
        <is>
          <t>Google Cloud Platform: Cloud Run (microservicios), Cloud SQL PostgreSQL, Redis Memorystore</t>
        </is>
      </c>
    </row>
    <row r="3">
      <c r="A3" t="inlineStr">
        <is>
          <t>Licencias del proyecto</t>
        </is>
      </c>
      <c r="B3" s="3" t="inlineStr">
        <is>
          <t>Meses</t>
        </is>
      </c>
      <c r="C3" s="3" t="n">
        <v>4</v>
      </c>
      <c r="D3" s="3" t="n">
        <v>600</v>
      </c>
      <c r="E3">
        <f>C3*D3</f>
        <v/>
      </c>
      <c r="F3" t="inlineStr">
        <is>
          <t>GitHub Team (repositorios privados, minutos CI/CD Actions) y monitoreo de excepciones con Sentry</t>
        </is>
      </c>
    </row>
    <row r="4">
      <c r="A4" t="inlineStr">
        <is>
          <t>APIs de terceros</t>
        </is>
      </c>
      <c r="B4" s="3" t="inlineStr">
        <is>
          <t>Meses</t>
        </is>
      </c>
      <c r="C4" s="3" t="n">
        <v>4</v>
      </c>
      <c r="D4" s="3" t="n">
        <v>550</v>
      </c>
      <c r="E4">
        <f>C4*D4</f>
        <v/>
      </c>
      <c r="F4" t="inlineStr">
        <is>
          <t>CloudAMQP (RabbitMQ dedicado gestionado para eventos asíncronos, Patrón Saga y Dead Letter Queue)</t>
        </is>
      </c>
    </row>
    <row r="5">
      <c r="A5" t="inlineStr">
        <is>
          <t>Dominio / SSL</t>
        </is>
      </c>
      <c r="B5" s="3" t="inlineStr">
        <is>
          <t>Licencia anual</t>
        </is>
      </c>
      <c r="C5" s="3" t="n">
        <v>1</v>
      </c>
      <c r="D5" s="3" t="n">
        <v>950</v>
      </c>
      <c r="E5">
        <f>C5*D5</f>
        <v/>
      </c>
      <c r="F5" t="inlineStr">
        <is>
          <t>Registro de dominio oficial corporativo .com.mx y certificado de seguridad TLS/SSL Wildcard 256 bits</t>
        </is>
      </c>
    </row>
    <row r="6">
      <c r="A6" t="inlineStr">
        <is>
          <t>Pruebas / dispositivos</t>
        </is>
      </c>
      <c r="B6" s="3" t="inlineStr">
        <is>
          <t>Dispositivos/Lic</t>
        </is>
      </c>
      <c r="C6" s="3" t="n">
        <v>2</v>
      </c>
      <c r="D6" s="3" t="n">
        <v>1500</v>
      </c>
      <c r="E6">
        <f>C6*D6</f>
        <v/>
      </c>
      <c r="F6" t="inlineStr">
        <is>
          <t>Dispositivos móviles de laboratorio para testing multi-resolución, soporte táctil y escaneo de códigos QR</t>
        </is>
      </c>
    </row>
    <row r="7">
      <c r="A7" t="inlineStr">
        <is>
          <t>Subcontratación</t>
        </is>
      </c>
      <c r="B7" s="3" t="inlineStr">
        <is>
          <t>Servicio</t>
        </is>
      </c>
      <c r="C7" s="3" t="n">
        <v>1</v>
      </c>
      <c r="D7" s="3" t="n">
        <v>4500</v>
      </c>
      <c r="E7">
        <f>C7*D7</f>
        <v/>
      </c>
      <c r="F7" t="inlineStr">
        <is>
          <t>Auditoría de ciberseguridad externa y pentesting ético sobre autenticación JWT y pasarela de pago</t>
        </is>
      </c>
    </row>
    <row r="8">
      <c r="A8" t="inlineStr">
        <is>
          <t>Viáticos</t>
        </is>
      </c>
      <c r="B8" s="3" t="inlineStr">
        <is>
          <t>Visitas en sitio</t>
        </is>
      </c>
      <c r="C8" s="3" t="n">
        <v>6</v>
      </c>
      <c r="D8" s="3" t="n">
        <v>500</v>
      </c>
      <c r="E8">
        <f>C8*D8</f>
        <v/>
      </c>
      <c r="F8" t="inlineStr">
        <is>
          <t>Traslados a cafetería en La Piedad para levantamiento, instalación física de terminales y pruebas en barra</t>
        </is>
      </c>
    </row>
    <row r="9">
      <c r="A9" t="inlineStr">
        <is>
          <t>Material y consumibles</t>
        </is>
      </c>
      <c r="B9" s="3" t="inlineStr">
        <is>
          <t>Lote</t>
        </is>
      </c>
      <c r="C9" s="3" t="n">
        <v>1</v>
      </c>
      <c r="D9" s="3" t="n">
        <v>850</v>
      </c>
      <c r="E9">
        <f>C9*D9</f>
        <v/>
      </c>
      <c r="F9" t="inlineStr">
        <is>
          <t>Rollos de papel térmico 80mm libre de BPA para pruebas de tickets de barra, cables USB/red blindados</t>
        </is>
      </c>
    </row>
    <row r="10">
      <c r="A10" t="inlineStr">
        <is>
          <t>Seguridad / auditoría</t>
        </is>
      </c>
      <c r="B10" s="3" t="inlineStr">
        <is>
          <t>Servicio</t>
        </is>
      </c>
      <c r="C10" s="3" t="n">
        <v>1</v>
      </c>
      <c r="D10" s="3" t="n">
        <v>1200</v>
      </c>
      <c r="E10">
        <f>C10*D10</f>
        <v/>
      </c>
      <c r="F10" t="inlineStr">
        <is>
          <t>Escaneos automatizados de código estático (SAST) y dependencias con reportes OWASP Top 10</t>
        </is>
      </c>
    </row>
    <row r="11">
      <c r="A11" t="inlineStr">
        <is>
          <t>Otros costos directos</t>
        </is>
      </c>
      <c r="B11" s="3" t="inlineStr">
        <is>
          <t>Paquete</t>
        </is>
      </c>
      <c r="C11" s="3" t="n">
        <v>1</v>
      </c>
      <c r="D11" s="3" t="n">
        <v>1500</v>
      </c>
      <c r="E11">
        <f>C11*D11</f>
        <v/>
      </c>
      <c r="F11" t="inlineStr">
        <is>
          <t>Manuales operativos impresos de mostrador, señalética de sellos Monchis Rewards y packaging demo</t>
        </is>
      </c>
    </row>
    <row r="12">
      <c r="A12" t="inlineStr">
        <is>
          <t>TOTAL COSTOS DIRECTOS</t>
        </is>
      </c>
      <c r="E12">
        <f>SUM(E2:E11)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E39" sqref="E39"/>
    </sheetView>
  </sheetViews>
  <sheetFormatPr baseColWidth="10" defaultColWidth="9" defaultRowHeight="14.25" outlineLevelCol="0"/>
  <cols>
    <col width="34" customWidth="1" min="1" max="1"/>
    <col width="15" customWidth="1" min="2" max="2"/>
    <col width="22" customWidth="1" min="3" max="3"/>
    <col width="23" customWidth="1" min="4" max="4"/>
    <col width="21" customWidth="1" min="5" max="5"/>
    <col width="25" customWidth="1" min="6" max="6"/>
    <col width="26" customWidth="1" min="7" max="7"/>
  </cols>
  <sheetData>
    <row r="1" ht="35.1" customHeight="1">
      <c r="A1" s="1" t="inlineStr">
        <is>
          <t>Activo / gasto inicial</t>
        </is>
      </c>
      <c r="B1" s="1" t="inlineStr">
        <is>
          <t>Cantidad</t>
        </is>
      </c>
      <c r="C1" s="1" t="inlineStr">
        <is>
          <t>Precio unitario</t>
        </is>
      </c>
      <c r="D1" s="1" t="inlineStr">
        <is>
          <t>Importe</t>
        </is>
      </c>
      <c r="E1" s="1" t="inlineStr">
        <is>
          <t>Vida útil (meses)</t>
        </is>
      </c>
      <c r="F1" s="1" t="inlineStr">
        <is>
          <t>Meses asignados al proyecto</t>
        </is>
      </c>
      <c r="G1" s="1" t="inlineStr">
        <is>
          <t>Costo imputado proyecto</t>
        </is>
      </c>
    </row>
    <row r="2">
      <c r="A2" t="inlineStr">
        <is>
          <t>Equipo de cómputo</t>
        </is>
      </c>
      <c r="B2" s="3" t="n">
        <v>4</v>
      </c>
      <c r="C2" s="3" t="n">
        <v>22000</v>
      </c>
      <c r="D2">
        <f>B2*C2</f>
        <v/>
      </c>
      <c r="E2" s="3" t="n">
        <v>36</v>
      </c>
      <c r="F2">
        <f>PARAMETROS!$B$4</f>
        <v/>
      </c>
      <c r="G2">
        <f>IFERROR(D2*MIN(1,F2/E2)*PARAMETROS!$B$16,0)</f>
        <v/>
      </c>
    </row>
    <row r="3">
      <c r="A3" t="inlineStr">
        <is>
          <t>Mobiliario</t>
        </is>
      </c>
      <c r="B3" s="3" t="n">
        <v>4</v>
      </c>
      <c r="C3" s="3" t="n">
        <v>4500</v>
      </c>
      <c r="D3">
        <f>B3*C3</f>
        <v/>
      </c>
      <c r="E3" s="3" t="n">
        <v>60</v>
      </c>
      <c r="F3">
        <f>PARAMETROS!$B$4</f>
        <v/>
      </c>
      <c r="G3">
        <f>IFERROR(D3*MIN(1,F3/E3)*PARAMETROS!$B$16,0)</f>
        <v/>
      </c>
    </row>
    <row r="4">
      <c r="A4" t="inlineStr">
        <is>
          <t>Equipo de red</t>
        </is>
      </c>
      <c r="B4" s="3" t="n">
        <v>1</v>
      </c>
      <c r="C4" s="3" t="n">
        <v>8500</v>
      </c>
      <c r="D4">
        <f>B4*C4</f>
        <v/>
      </c>
      <c r="E4" s="3" t="n">
        <v>36</v>
      </c>
      <c r="F4">
        <f>PARAMETROS!$B$4</f>
        <v/>
      </c>
      <c r="G4">
        <f>IFERROR(D4*MIN(1,F4/E4)*PARAMETROS!$B$16,0)</f>
        <v/>
      </c>
    </row>
    <row r="5">
      <c r="A5" t="inlineStr">
        <is>
          <t>Licencias de instalación</t>
        </is>
      </c>
      <c r="B5" s="3" t="n">
        <v>4</v>
      </c>
      <c r="C5" s="3" t="n">
        <v>3200</v>
      </c>
      <c r="D5">
        <f>B5*C5</f>
        <v/>
      </c>
      <c r="E5" s="3" t="n">
        <v>24</v>
      </c>
      <c r="F5">
        <f>PARAMETROS!$B$4</f>
        <v/>
      </c>
      <c r="G5">
        <f>IFERROR(D5*MIN(1,F5/E5)*PARAMETROS!$B$16,0)</f>
        <v/>
      </c>
    </row>
    <row r="6">
      <c r="A6" t="inlineStr">
        <is>
          <t>Capacitación / puesta en marcha</t>
        </is>
      </c>
      <c r="B6" s="3" t="n">
        <v>1</v>
      </c>
      <c r="C6" s="3" t="n">
        <v>12000</v>
      </c>
      <c r="D6">
        <f>B6*C6</f>
        <v/>
      </c>
      <c r="E6" s="3" t="n">
        <v>12</v>
      </c>
      <c r="F6">
        <f>PARAMETROS!$B$4</f>
        <v/>
      </c>
      <c r="G6">
        <f>IFERROR(D6*MIN(1,F6/E6)*PARAMETROS!$B$16,0)</f>
        <v/>
      </c>
    </row>
    <row r="7">
      <c r="A7" t="inlineStr">
        <is>
          <t>Otro activo</t>
        </is>
      </c>
      <c r="B7" s="3" t="n">
        <v>1</v>
      </c>
      <c r="C7" s="3" t="n">
        <v>9500</v>
      </c>
      <c r="D7">
        <f>B7*C7</f>
        <v/>
      </c>
      <c r="E7" s="3" t="n">
        <v>24</v>
      </c>
      <c r="F7">
        <f>PARAMETROS!$B$4</f>
        <v/>
      </c>
      <c r="G7">
        <f>IFERROR(D7*MIN(1,F7/E7)*PARAMETROS!$B$16,0)</f>
        <v/>
      </c>
    </row>
    <row r="8">
      <c r="A8" t="inlineStr">
        <is>
          <t>TOTALES</t>
        </is>
      </c>
      <c r="D8">
        <f>SUM(D2:D7)</f>
        <v/>
      </c>
      <c r="G8">
        <f>SUM(G2:G7)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B5" sqref="B5"/>
    </sheetView>
  </sheetViews>
  <sheetFormatPr baseColWidth="10" defaultColWidth="9" defaultRowHeight="14.25" outlineLevelCol="0"/>
  <cols>
    <col width="37" customWidth="1" min="1" max="1"/>
    <col width="25" customWidth="1" min="2" max="2"/>
    <col width="82" customWidth="1" min="3" max="3"/>
  </cols>
  <sheetData>
    <row r="1" ht="35.1" customHeight="1">
      <c r="A1" s="1" t="inlineStr">
        <is>
          <t>Concepto</t>
        </is>
      </c>
      <c r="B1" s="1" t="inlineStr">
        <is>
          <t>Importe / factor</t>
        </is>
      </c>
      <c r="C1" s="1" t="inlineStr">
        <is>
          <t>Explicación</t>
        </is>
      </c>
    </row>
    <row r="2">
      <c r="A2" t="inlineStr">
        <is>
          <t>Monto financiado</t>
        </is>
      </c>
      <c r="B2" s="3" t="n">
        <v>40000</v>
      </c>
      <c r="C2" t="inlineStr">
        <is>
          <t>Capturar solo si el proyecto tendrá financiación</t>
        </is>
      </c>
    </row>
    <row r="3">
      <c r="A3" t="inlineStr">
        <is>
          <t>Tasa anual</t>
        </is>
      </c>
      <c r="B3">
        <f>PARAMETROS!B14</f>
        <v/>
      </c>
      <c r="C3" t="inlineStr">
        <is>
          <t>Tasa editable en parámetros</t>
        </is>
      </c>
    </row>
    <row r="4">
      <c r="A4" t="inlineStr">
        <is>
          <t>Meses crédito</t>
        </is>
      </c>
      <c r="B4">
        <f>PARAMETROS!B15</f>
        <v/>
      </c>
      <c r="C4" t="inlineStr">
        <is>
          <t>Plazo editable en parámetros</t>
        </is>
      </c>
    </row>
    <row r="5">
      <c r="A5" t="inlineStr">
        <is>
          <t>Cuota mensual</t>
        </is>
      </c>
      <c r="B5">
        <f>IFERROR(IF(B3=0,B2/B4,PMT(B3/12,B4,-B2)),0)</f>
        <v/>
      </c>
      <c r="C5" t="inlineStr">
        <is>
          <t>Pago mensual a interés compuesto</t>
        </is>
      </c>
    </row>
    <row r="6">
      <c r="A6" t="inlineStr">
        <is>
          <t>Interés aproximado del proyecto</t>
        </is>
      </c>
      <c r="B6">
        <f>IFERROR(MAX(0,(B5*MIN(PARAMETROS!B4,B4))-(B2/B4*MIN(PARAMETROS!B4,B4))),0)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B8" sqref="B8"/>
    </sheetView>
  </sheetViews>
  <sheetFormatPr baseColWidth="10" defaultColWidth="9" defaultRowHeight="14.25" outlineLevelCol="0"/>
  <cols>
    <col width="43" customWidth="1" min="1" max="1"/>
    <col width="28" customWidth="1" min="2" max="2"/>
    <col width="89" customWidth="1" min="3" max="3"/>
  </cols>
  <sheetData>
    <row r="1" ht="35.1" customHeight="1">
      <c r="A1" s="1" t="inlineStr">
        <is>
          <t>Presupuesto del proyecto</t>
        </is>
      </c>
      <c r="B1" s="1" t="inlineStr">
        <is>
          <t>Resultado MXN</t>
        </is>
      </c>
      <c r="C1" s="1" t="inlineStr">
        <is>
          <t>Interpretación</t>
        </is>
      </c>
    </row>
    <row r="2">
      <c r="A2" t="inlineStr">
        <is>
          <t>Proyecto</t>
        </is>
      </c>
      <c r="B2">
        <f>PARAMETROS!B2</f>
        <v/>
      </c>
    </row>
    <row r="3">
      <c r="A3" t="inlineStr">
        <is>
          <t>Duración meses</t>
        </is>
      </c>
      <c r="B3">
        <f>PARAMETROS!B4</f>
        <v/>
      </c>
    </row>
    <row r="4">
      <c r="A4" t="inlineStr">
        <is>
          <t>Unidades / proyectos</t>
        </is>
      </c>
      <c r="B4">
        <f>PARAMETROS!B5</f>
        <v/>
      </c>
    </row>
    <row r="6">
      <c r="A6" t="inlineStr">
        <is>
          <t>Nómina y carga patronal</t>
        </is>
      </c>
      <c r="B6">
        <f>NOMINA!J15*PARAMETROS!B4</f>
        <v/>
      </c>
    </row>
    <row r="7">
      <c r="A7" t="inlineStr">
        <is>
          <t>Gastos fijos</t>
        </is>
      </c>
      <c r="B7">
        <f>'GASTOS FIJOS'!D9</f>
        <v/>
      </c>
    </row>
    <row r="8">
      <c r="A8" t="inlineStr">
        <is>
          <t>Costos directos</t>
        </is>
      </c>
      <c r="B8">
        <f>'COSTOS DIRECTOS'!E12*PARAMETROS!B5</f>
        <v/>
      </c>
    </row>
    <row r="9">
      <c r="A9" t="inlineStr">
        <is>
          <t>Inversión inicial asignada</t>
        </is>
      </c>
      <c r="B9">
        <f>'INVERSION INICIAL'!G8</f>
        <v/>
      </c>
    </row>
    <row r="10">
      <c r="A10" t="inlineStr">
        <is>
          <t>Intereses de financiamiento</t>
        </is>
      </c>
      <c r="B10">
        <f>PRESTAMO!B6</f>
        <v/>
      </c>
    </row>
    <row r="11">
      <c r="A11" t="inlineStr">
        <is>
          <t>COSTO BASE TOTAL</t>
        </is>
      </c>
      <c r="B11">
        <f>SUM(B6:B10)</f>
        <v/>
      </c>
      <c r="C11" t="inlineStr">
        <is>
          <t>Incluye costos empresariales, NO ISR retenido de trabajadores como costo adicional.</t>
        </is>
      </c>
    </row>
    <row r="12">
      <c r="A12" t="inlineStr">
        <is>
          <t>Contingencia</t>
        </is>
      </c>
      <c r="B12">
        <f>B11*PARAMETROS!B8</f>
        <v/>
      </c>
    </row>
    <row r="13">
      <c r="A13" s="6" t="inlineStr">
        <is>
          <t>COSTO TOTAL DEL PROYECTO</t>
        </is>
      </c>
      <c r="B13" s="6">
        <f>SUM(B11:B12)</f>
        <v/>
      </c>
      <c r="C13" s="6" t="n"/>
    </row>
    <row r="14">
      <c r="A14" t="inlineStr">
        <is>
          <t>Costo unitario por proyecto</t>
        </is>
      </c>
      <c r="B14">
        <f>IFERROR(B13/B4,0)</f>
        <v/>
      </c>
    </row>
    <row r="16">
      <c r="A16" t="inlineStr">
        <is>
          <t>Margen sobre precio</t>
        </is>
      </c>
      <c r="B16" s="2">
        <f>PARAMETROS!B6</f>
        <v/>
      </c>
    </row>
    <row r="17">
      <c r="A17" t="inlineStr">
        <is>
          <t>PRECIO DE VENTA SIN IVA / UNIDAD</t>
        </is>
      </c>
      <c r="B17">
        <f>IFERROR(B14/(1-B16),0)</f>
        <v/>
      </c>
      <c r="C17" t="inlineStr">
        <is>
          <t>Precio = costo unitario / (1 - margen). No confundir margen con recargo.</t>
        </is>
      </c>
    </row>
    <row r="18">
      <c r="A18" t="inlineStr">
        <is>
          <t>IVA por unidad</t>
        </is>
      </c>
      <c r="B18">
        <f>B17*PARAMETROS!B7</f>
        <v/>
      </c>
    </row>
    <row r="19">
      <c r="A19" s="6" t="inlineStr">
        <is>
          <t>PRECIO DE VENTA CON IVA / UNIDAD</t>
        </is>
      </c>
      <c r="B19" s="6">
        <f>SUM(B17:B18)</f>
        <v/>
      </c>
      <c r="C19" s="6" t="n"/>
    </row>
    <row r="20">
      <c r="A20" t="inlineStr">
        <is>
          <t>COTIZACIÓN TOTAL SIN IVA</t>
        </is>
      </c>
      <c r="B20">
        <f>B17*B4</f>
        <v/>
      </c>
    </row>
    <row r="21">
      <c r="A21" t="inlineStr">
        <is>
          <t>IVA TOTAL</t>
        </is>
      </c>
      <c r="B21">
        <f>B18*B4</f>
        <v/>
      </c>
    </row>
    <row r="22">
      <c r="A22" s="6" t="inlineStr">
        <is>
          <t>COTIZACIÓN TOTAL CON IVA</t>
        </is>
      </c>
      <c r="B22" s="6">
        <f>B19*B4</f>
        <v/>
      </c>
      <c r="C22" s="6" t="n"/>
    </row>
    <row r="24">
      <c r="A24" t="inlineStr">
        <is>
          <t>Utilidad proyectada (antes ISR empresarial)</t>
        </is>
      </c>
      <c r="B24">
        <f>B20-B13</f>
        <v/>
      </c>
    </row>
    <row r="25">
      <c r="A25" t="inlineStr">
        <is>
          <t>Rentabilidad sobre ventas</t>
        </is>
      </c>
      <c r="B25" s="2">
        <f>IFERROR(B24/B20,0)</f>
        <v/>
      </c>
    </row>
    <row r="26">
      <c r="A26" t="inlineStr">
        <is>
          <t>Punto de equilibrio (unidades)</t>
        </is>
      </c>
      <c r="B26">
        <f>IFERROR(ROUNDUP((B6+B7+B9+B10)/(B17-(B8/B4)-(B12/B4)),0),0)</f>
        <v/>
      </c>
      <c r="C26" t="inlineStr">
        <is>
          <t>Estimación simplificada para proyectos repetibles; no usar como PE contable definitivo.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" defaultRowHeight="14.25" outlineLevelCol="0"/>
  <cols>
    <col width="14" customWidth="1" min="1" max="1"/>
    <col width="115" customWidth="1" min="2" max="2"/>
  </cols>
  <sheetData>
    <row r="1" ht="35.1" customHeight="1">
      <c r="A1" s="1" t="inlineStr">
        <is>
          <t>Paso</t>
        </is>
      </c>
      <c r="B1" s="1" t="inlineStr">
        <is>
          <t>Acción / criterio</t>
        </is>
      </c>
    </row>
    <row r="2">
      <c r="A2" t="inlineStr">
        <is>
          <t>1</t>
        </is>
      </c>
      <c r="B2" t="inlineStr">
        <is>
          <t>Captura datos únicamente en celdas amarillas de PARAMETROS, NOMINA, GASTOS FIJOS, COSTOS DIRECTOS, INVERSION INICIAL y PRESTAMO.</t>
        </is>
      </c>
    </row>
    <row r="3">
      <c r="A3" t="inlineStr">
        <is>
          <t>2</t>
        </is>
      </c>
      <c r="B3" t="inlineStr">
        <is>
          <t>En NOMINA escribe sueldo mensual BRUTO por persona y número de personas. La retención de ISR se consulta automáticamente en tabla 2026.</t>
        </is>
      </c>
    </row>
    <row r="4">
      <c r="A4" t="inlineStr">
        <is>
          <t>3</t>
        </is>
      </c>
      <c r="B4" t="inlineStr">
        <is>
          <t>Duración y número de proyectos controlan los importes acumulados. Evita duplicar equipos de cómputo como gasto directo y como inversión.</t>
        </is>
      </c>
    </row>
    <row r="5">
      <c r="A5" t="inlineStr">
        <is>
          <t>4</t>
        </is>
      </c>
      <c r="B5" t="inlineStr">
        <is>
          <t>En INVERSION INICIAL captura vida útil en meses: el sistema distribuye el gasto según duración del proyecto.</t>
        </is>
      </c>
    </row>
    <row r="6">
      <c r="A6" t="inlineStr">
        <is>
          <t>5</t>
        </is>
      </c>
      <c r="B6" t="inlineStr">
        <is>
          <t>El precio se calcula aplicando margen comercial antes de IVA. ISR retenido a empleados NO es ISR de la empresa.</t>
        </is>
      </c>
    </row>
    <row r="7">
      <c r="A7" t="inlineStr">
        <is>
          <t>6</t>
        </is>
      </c>
      <c r="B7" t="inlineStr">
        <is>
          <t>El costo patronal se aproxima con una tasa editable; verificar caso real (SBC, IMSS, INFONAVIT, impuesto nómina, prestaciones).</t>
        </is>
      </c>
    </row>
    <row r="8">
      <c r="A8" t="inlineStr">
        <is>
          <t>7</t>
        </is>
      </c>
      <c r="B8" t="inlineStr">
        <is>
          <t>El subsidio al empleo corresponde a la regla general desde febrero de 2026; enero requiere tratamiento específico.</t>
        </is>
      </c>
    </row>
    <row r="9">
      <c r="A9" t="inlineStr">
        <is>
          <t>8</t>
        </is>
      </c>
      <c r="B9" t="inlineStr">
        <is>
          <t>Resultados y cotización final en RESUMEN Y COTIZACION. Todos los importes en pesos mexicanos.</t>
        </is>
      </c>
    </row>
    <row r="10">
      <c r="A10" t="inlineStr">
        <is>
          <t>FUENTE ISR</t>
        </is>
      </c>
      <c r="B10" t="inlineStr">
        <is>
          <t>https://sidof.segob.gob.mx/notas/docFuente/5777219</t>
        </is>
      </c>
    </row>
    <row r="11">
      <c r="A11" t="inlineStr">
        <is>
          <t>FUENTE UMA</t>
        </is>
      </c>
      <c r="B11" t="inlineStr">
        <is>
          <t>https://www.inegi.org.mx/temas/uma/</t>
        </is>
      </c>
    </row>
    <row r="12">
      <c r="A12" t="inlineStr">
        <is>
          <t>SUBSIDIO</t>
        </is>
      </c>
      <c r="B12" t="inlineStr">
        <is>
          <t>https://sidof.segob.gob.mx/notas/docFuente/5777649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51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28" customWidth="1" min="2" max="2"/>
    <col width="16" customWidth="1" min="3" max="3"/>
    <col width="20" customWidth="1" min="4" max="4"/>
    <col width="18" customWidth="1" min="5" max="5"/>
    <col width="22" customWidth="1" min="6" max="6"/>
    <col width="46" customWidth="1" min="7" max="7"/>
    <col width="4" customWidth="1" min="8" max="8"/>
  </cols>
  <sheetData>
    <row r="2" ht="28" customHeight="1">
      <c r="B2" s="41" t="inlineStr">
        <is>
          <t>MONCHIS CAFÉ — ESTRATEGIA COMERCIAL DE VENTA Y JUSTIFICACIÓN FINANCIERA</t>
        </is>
      </c>
      <c r="C2" s="42" t="n"/>
      <c r="D2" s="42" t="n"/>
      <c r="E2" s="42" t="n"/>
      <c r="F2" s="42" t="n"/>
      <c r="G2" s="42" t="n"/>
    </row>
    <row r="3" ht="20" customHeight="1">
      <c r="B3" s="43" t="inlineStr">
        <is>
          <t>Actividad 4: Gestión de Finanzas | Proyecto Integrador de Software Seguro y Trazable (ODS)</t>
        </is>
      </c>
      <c r="C3" s="42" t="n"/>
      <c r="D3" s="42" t="n"/>
      <c r="E3" s="42" t="n"/>
      <c r="F3" s="42" t="n"/>
      <c r="G3" s="42" t="n"/>
    </row>
    <row r="5" ht="20" customHeight="1">
      <c r="B5" s="44" t="inlineStr">
        <is>
          <t>Proyecto Integrador:</t>
        </is>
      </c>
      <c r="C5" s="45" t="inlineStr">
        <is>
          <t>Monchis Café — Plataforma Web y POS Seguro para Cafetería Orgánica</t>
        </is>
      </c>
      <c r="D5" s="13" t="n"/>
      <c r="E5" s="44" t="inlineStr">
        <is>
          <t>Docente:</t>
        </is>
      </c>
      <c r="F5" s="45" t="inlineStr">
        <is>
          <t>Dr. Gabriel Navarro Salcedo</t>
        </is>
      </c>
      <c r="G5" s="13" t="n"/>
    </row>
    <row r="6" ht="20" customHeight="1">
      <c r="B6" s="44" t="inlineStr">
        <is>
          <t>Estudiante:</t>
        </is>
      </c>
      <c r="C6" s="45" t="inlineStr">
        <is>
          <t>Ernesto Hatuey Fierro Meléndez</t>
        </is>
      </c>
      <c r="D6" s="13" t="n"/>
      <c r="E6" s="44" t="inlineStr">
        <is>
          <t>Asignatura:</t>
        </is>
      </c>
      <c r="F6" s="45" t="inlineStr">
        <is>
          <t>Gestión de Finanzas / Admón. de Proyectos</t>
        </is>
      </c>
      <c r="G6" s="13" t="n"/>
    </row>
    <row r="7" ht="20" customHeight="1">
      <c r="B7" s="44" t="inlineStr">
        <is>
          <t>Empresa Desarrolladora:</t>
        </is>
      </c>
      <c r="C7" s="45" t="inlineStr">
        <is>
          <t>Soluciones Digitales Fierro &amp; Asociados S.A.S. de C.V.</t>
        </is>
      </c>
      <c r="D7" s="13" t="n"/>
      <c r="E7" s="44" t="inlineStr">
        <is>
          <t>Fecha de Entrega:</t>
        </is>
      </c>
      <c r="F7" s="45" t="inlineStr">
        <is>
          <t>24 de Octubre de 2026</t>
        </is>
      </c>
      <c r="G7" s="13" t="n"/>
    </row>
    <row r="9" ht="24" customHeight="1">
      <c r="B9" s="46" t="inlineStr">
        <is>
          <t>1. RESUMEN EJECUTIVO DE COSTOS, PRECIO Y UTILIDAD DEL PROYECTO</t>
        </is>
      </c>
      <c r="C9" s="47" t="n"/>
      <c r="D9" s="47" t="n"/>
      <c r="E9" s="47" t="n"/>
      <c r="F9" s="47" t="n"/>
      <c r="G9" s="47" t="n"/>
    </row>
    <row r="10" ht="22" customHeight="1">
      <c r="B10" s="48" t="inlineStr">
        <is>
          <t>Indicador Financiero Clave</t>
        </is>
      </c>
      <c r="C10" s="49" t="inlineStr">
        <is>
          <t>Valor (MXN)</t>
        </is>
      </c>
      <c r="D10" s="49" t="inlineStr">
        <is>
          <t>Referencia Celda</t>
        </is>
      </c>
      <c r="E10" s="49" t="inlineStr">
        <is>
          <t>% s/ Venta</t>
        </is>
      </c>
      <c r="F10" s="48" t="inlineStr">
        <is>
          <t>Interpretación Financiera</t>
        </is>
      </c>
      <c r="G10" s="48" t="inlineStr">
        <is>
          <t>Relevancia Estratégica para el Negocio</t>
        </is>
      </c>
    </row>
    <row r="11" ht="20" customHeight="1">
      <c r="B11" s="45" t="inlineStr">
        <is>
          <t>Costo Base Total (CTB)</t>
        </is>
      </c>
      <c r="C11" s="50">
        <f>'RESUMEN Y COTIZACION'!B11</f>
        <v/>
      </c>
      <c r="D11" s="51">
        <f>'RESUMEN Y COTIZACION'!A11</f>
        <v/>
      </c>
      <c r="E11" s="52">
        <f>C11/'RESUMEN Y COTIZACION'!$B$20</f>
        <v/>
      </c>
      <c r="F11" s="53" t="inlineStr">
        <is>
          <t>Costos empresariales directos e indirectos.</t>
        </is>
      </c>
      <c r="G11" s="53" t="inlineStr">
        <is>
          <t>Suma de nómina calificada, gastos fijos, nube, depreciación y costo financiero.</t>
        </is>
      </c>
    </row>
    <row r="12" ht="20" customHeight="1">
      <c r="B12" s="45" t="inlineStr">
        <is>
          <t>Fondo de Contingencia (10%)</t>
        </is>
      </c>
      <c r="C12" s="50">
        <f>'RESUMEN Y COTIZACION'!B12</f>
        <v/>
      </c>
      <c r="D12" s="51">
        <f>'RESUMEN Y COTIZACION'!A12</f>
        <v/>
      </c>
      <c r="E12" s="52">
        <f>C12/'RESUMEN Y COTIZACION'!$B$20</f>
        <v/>
      </c>
      <c r="F12" s="53" t="inlineStr">
        <is>
          <t>Reserva de mitigación ante riesgos.</t>
        </is>
      </c>
      <c r="G12" s="53" t="inlineStr">
        <is>
          <t>Amortigua variaciones en tarifas cloud en USD, picos de tráfico y retrabajos menores.</t>
        </is>
      </c>
    </row>
    <row r="13" ht="20" customHeight="1">
      <c r="B13" s="44" t="inlineStr">
        <is>
          <t>COSTO TOTAL DEL PROYECTO (CTP)</t>
        </is>
      </c>
      <c r="C13" s="54">
        <f>'RESUMEN Y COTIZACION'!B13</f>
        <v/>
      </c>
      <c r="D13" s="55">
        <f>'RESUMEN Y COTIZACION'!A13</f>
        <v/>
      </c>
      <c r="E13" s="56">
        <f>C13/'RESUMEN Y COTIZACION'!$B$20</f>
        <v/>
      </c>
      <c r="F13" s="57" t="inlineStr">
        <is>
          <t>Inversión neta para producir la solución.</t>
        </is>
      </c>
      <c r="G13" s="57" t="inlineStr">
        <is>
          <t>Inversión indispensable para cubrir los 8 sprints de desarrollo y aseguramiento de calidad.</t>
        </is>
      </c>
    </row>
    <row r="14" ht="20" customHeight="1">
      <c r="B14" s="45" t="inlineStr">
        <is>
          <t>Margen de Utilidad sobre Ventas</t>
        </is>
      </c>
      <c r="C14" s="52">
        <f>'RESUMEN Y COTIZACION'!B16</f>
        <v/>
      </c>
      <c r="D14" s="51">
        <f>'RESUMEN Y COTIZACION'!A16</f>
        <v/>
      </c>
      <c r="E14" s="52">
        <f>C14</f>
        <v/>
      </c>
      <c r="F14" s="53" t="inlineStr">
        <is>
          <t>Rendimiento comercial del 30.0%.</t>
        </is>
      </c>
      <c r="G14" s="53" t="inlineStr">
        <is>
          <t>Margen real sobre precio facturado sin IVA, garantizando viabilidad económica corporativa.</t>
        </is>
      </c>
    </row>
    <row r="15" ht="20" customHeight="1">
      <c r="B15" s="44" t="inlineStr">
        <is>
          <t>PRECIO DE VENTA SIN IVA (COTIZACIÓN)</t>
        </is>
      </c>
      <c r="C15" s="54">
        <f>'RESUMEN Y COTIZACION'!B17</f>
        <v/>
      </c>
      <c r="D15" s="55">
        <f>'RESUMEN Y COTIZACION'!A17</f>
        <v/>
      </c>
      <c r="E15" s="56">
        <f>C15/'RESUMEN Y COTIZACION'!$B$20</f>
        <v/>
      </c>
      <c r="F15" s="57" t="inlineStr">
        <is>
          <t>Precio comercial fijado: CTP / (1 - Margen).</t>
        </is>
      </c>
      <c r="G15" s="57" t="inlineStr">
        <is>
          <t>Cotización base de la solución completa llave en mano con entrega en la nube.</t>
        </is>
      </c>
    </row>
    <row r="16" ht="20" customHeight="1">
      <c r="B16" s="45" t="inlineStr">
        <is>
          <t>IVA Trasladado (16%)</t>
        </is>
      </c>
      <c r="C16" s="50">
        <f>'RESUMEN Y COTIZACION'!B18</f>
        <v/>
      </c>
      <c r="D16" s="51">
        <f>'RESUMEN Y COTIZACION'!A18</f>
        <v/>
      </c>
      <c r="E16" s="52">
        <f>C16/'RESUMEN Y COTIZACION'!$B$20</f>
        <v/>
      </c>
      <c r="F16" s="53" t="inlineStr">
        <is>
          <t>Impuesto fiscal trasladado por ley.</t>
        </is>
      </c>
      <c r="G16" s="53" t="inlineStr">
        <is>
          <t>Obligación tributaria ante el SAT; deducible para el cliente como inversión de capital.</t>
        </is>
      </c>
    </row>
    <row r="17" ht="20" customHeight="1">
      <c r="B17" s="45" t="inlineStr">
        <is>
          <t>PRECIO TOTAL FACTURADO CON IVA</t>
        </is>
      </c>
      <c r="C17" s="50">
        <f>'RESUMEN Y COTIZACION'!B19</f>
        <v/>
      </c>
      <c r="D17" s="51">
        <f>'RESUMEN Y COTIZACION'!A19</f>
        <v/>
      </c>
      <c r="E17" s="52">
        <f>C17/'RESUMEN Y COTIZACION'!$B$20</f>
        <v/>
      </c>
      <c r="F17" s="53" t="inlineStr">
        <is>
          <t>Monto contractual total formalizado.</t>
        </is>
      </c>
      <c r="G17" s="53" t="inlineStr">
        <is>
          <t>Importe global formal suscrito en el contrato de prestación de servicios informáticos.</t>
        </is>
      </c>
    </row>
    <row r="18" ht="20" customHeight="1">
      <c r="B18" s="58" t="inlineStr">
        <is>
          <t>UTILIDAD BRUTA PROYECTADA</t>
        </is>
      </c>
      <c r="C18" s="59">
        <f>'RESUMEN Y COTIZACION'!B24</f>
        <v/>
      </c>
      <c r="D18" s="60">
        <f>'RESUMEN Y COTIZACION'!A24</f>
        <v/>
      </c>
      <c r="E18" s="61">
        <f>C18/'RESUMEN Y COTIZACION'!$B$20</f>
        <v/>
      </c>
      <c r="F18" s="62" t="inlineStr">
        <is>
          <t>Ganancia bruta de la empresa desarrolladora.</t>
        </is>
      </c>
      <c r="G18" s="62" t="inlineStr">
        <is>
          <t>Retorno del 30% neto previo a impuestos corporativos anuales para reinversión e I+D.</t>
        </is>
      </c>
    </row>
    <row r="19" ht="20" customHeight="1">
      <c r="B19" s="45" t="inlineStr">
        <is>
          <t>Punto de Equilibrio (Soluciones)</t>
        </is>
      </c>
      <c r="C19" s="63">
        <f>'RESUMEN Y COTIZACION'!B26</f>
        <v/>
      </c>
      <c r="D19" s="51">
        <f>'RESUMEN Y COTIZACION'!A26</f>
        <v/>
      </c>
      <c r="E19" s="64" t="inlineStr">
        <is>
          <t>N/A</t>
        </is>
      </c>
      <c r="F19" s="53" t="inlineStr">
        <is>
          <t>1 proyecto único llave en mano.</t>
        </is>
      </c>
      <c r="G19" s="53" t="inlineStr">
        <is>
          <t>La comercialización del sistema al cliente Monchis Café cubre el 100% de la estructura de costos.</t>
        </is>
      </c>
    </row>
    <row r="21" ht="24" customHeight="1">
      <c r="B21" s="46" t="inlineStr">
        <is>
          <t>2. CUADRO JUSTIFICATIVO DE PERTINENCIA DE COSTOS DEL PROYECTO</t>
        </is>
      </c>
      <c r="C21" s="47" t="n"/>
      <c r="D21" s="47" t="n"/>
      <c r="E21" s="47" t="n"/>
      <c r="F21" s="47" t="n"/>
      <c r="G21" s="47" t="n"/>
    </row>
    <row r="22" ht="22" customHeight="1">
      <c r="B22" s="48" t="inlineStr">
        <is>
          <t>Rubro de Costo Presupuestal</t>
        </is>
      </c>
      <c r="C22" s="49" t="inlineStr">
        <is>
          <t>Importe (MXN)</t>
        </is>
      </c>
      <c r="D22" s="49" t="inlineStr">
        <is>
          <t>% s/ CTP</t>
        </is>
      </c>
      <c r="E22" s="49" t="inlineStr">
        <is>
          <t>Tipo de Costo</t>
        </is>
      </c>
      <c r="F22" s="48" t="inlineStr">
        <is>
          <t>Criterio Técnico y Pertinencia Operativa</t>
        </is>
      </c>
      <c r="G22" s="48" t="inlineStr">
        <is>
          <t>Impacto en la Calidad y Viabilidad Técnica</t>
        </is>
      </c>
    </row>
    <row r="23" ht="42" customHeight="1">
      <c r="B23" s="45" t="inlineStr">
        <is>
          <t>Nómina y Carga Patronal (4 meses)</t>
        </is>
      </c>
      <c r="C23" s="50">
        <f>'RESUMEN Y COTIZACION'!B6</f>
        <v/>
      </c>
      <c r="D23" s="52">
        <f>C23/'RESUMEN Y COTIZACION'!$B$13</f>
        <v/>
      </c>
      <c r="E23" s="64" t="inlineStr">
        <is>
          <t>Mano de Obra Directa</t>
        </is>
      </c>
      <c r="F23" s="53" t="inlineStr">
        <is>
          <t>4 perfiles técnicos: Líder/Scrum Master &amp; DevOps ($36k), Frontend Vue 3 ($20k), Backend Next.js ($20k) y QA Ciberseguridad ($13.5k) por 16 semanas (2,560 hrs). Incluye 30% de carga patronal estimada (IMSS, Infonavit, ISN 3%).</t>
        </is>
      </c>
      <c r="G23" s="53" t="inlineStr">
        <is>
          <t>Garantiza el cumplimiento estricto del cronograma de 8 sprints, desarrollo TDD con cobertura &gt;80% y arquitectura resiliente sin rotación de talento.</t>
        </is>
      </c>
    </row>
    <row r="24" ht="42" customHeight="1">
      <c r="B24" s="45" t="inlineStr">
        <is>
          <t>Gastos Fijos Operativos Imputados</t>
        </is>
      </c>
      <c r="C24" s="50">
        <f>'RESUMEN Y COTIZACION'!B7</f>
        <v/>
      </c>
      <c r="D24" s="52">
        <f>C24/'RESUMEN Y COTIZACION'!$B$13</f>
        <v/>
      </c>
      <c r="E24" s="64" t="inlineStr">
        <is>
          <t>Costo Indirecto Fijo</t>
        </is>
      </c>
      <c r="F24" s="53" t="inlineStr">
        <is>
          <t>Oficina coworking ($6k/mes), energía eléctrica ($1.2k), fibra simétrica 500 Mbps con IP fija ($1.5k), despacho contable/fiscal ($2.5k), herramientas compartidas ($1.8k) y suministros ($2k) imputados al 100% en los 4 meses ($60k total).</t>
        </is>
      </c>
      <c r="G24" s="53" t="inlineStr">
        <is>
          <t>Brinda infraestructura física y legal idónea para operar sin disrupciones de conectividad, auditorías fiscales al día y herramientas de colaboración ágil.</t>
        </is>
      </c>
    </row>
    <row r="25" ht="42" customHeight="1">
      <c r="B25" s="45" t="inlineStr">
        <is>
          <t>Costos Directos de Nube y Servicios</t>
        </is>
      </c>
      <c r="C25" s="50">
        <f>'RESUMEN Y COTIZACION'!B8</f>
        <v/>
      </c>
      <c r="D25" s="52">
        <f>C25/'RESUMEN Y COTIZACION'!$B$13</f>
        <v/>
      </c>
      <c r="E25" s="64" t="inlineStr">
        <is>
          <t>Costo Directo Variable</t>
        </is>
      </c>
      <c r="F25" s="53" t="inlineStr">
        <is>
          <t>Infraestructura GCP (Cloud Run, Cloud SQL PostgreSQL, Redis: $7.2k), broker RabbitMQ en CloudAMQP ($2.2k), dominio/SSL ($950), pentesting externo ($4.5k), viáticos a barra ($3k) y material de prueba ($2.35k).</t>
        </is>
      </c>
      <c r="G25" s="53" t="inlineStr">
        <is>
          <t>Sustenta la arquitectura orientada a eventos, tolerancia a fallos con Dead Letter Queue (DLQ), seguridad bancaria y validación in situ del hardware de mostrador.</t>
        </is>
      </c>
    </row>
    <row r="26" ht="42" customHeight="1">
      <c r="B26" s="45" t="inlineStr">
        <is>
          <t>Inversión Inicial Asignada (Depreciación)</t>
        </is>
      </c>
      <c r="C26" s="50">
        <f>'RESUMEN Y COTIZACION'!B9</f>
        <v/>
      </c>
      <c r="D26" s="52">
        <f>C26/'RESUMEN Y COTIZACION'!$B$13</f>
        <v/>
      </c>
      <c r="E26" s="64" t="inlineStr">
        <is>
          <t>Depreciación de Activos</t>
        </is>
      </c>
      <c r="F26" s="53" t="inlineStr">
        <is>
          <t>Depreciación proporcional en 4 meses de 4 laptops de desarrollo (36 meses vida útil), mobiliario ergonómico (60 meses), red gigabit (36 meses), licencias IDEs (24 meses), capacitación RabbitMQ (12 meses) y kit POS laboratorio (24 meses).</t>
        </is>
      </c>
      <c r="G26" s="53" t="inlineStr">
        <is>
          <t>Aplica el principio contable de devengo: el proyecto absorbe únicamente la fracción de desgaste de los activos productivos durante su ejecución ($19,638.89 de $148.8k adquiridos).</t>
        </is>
      </c>
    </row>
    <row r="27" ht="42" customHeight="1">
      <c r="B27" s="45" t="inlineStr">
        <is>
          <t>Intereses por Financiamiento Puente</t>
        </is>
      </c>
      <c r="C27" s="50">
        <f>'RESUMEN Y COTIZACION'!B10</f>
        <v/>
      </c>
      <c r="D27" s="52">
        <f>C27/'RESUMEN Y COTIZACION'!$B$13</f>
        <v/>
      </c>
      <c r="E27" s="64" t="inlineStr">
        <is>
          <t>Costo Financiero</t>
        </is>
      </c>
      <c r="F27" s="53" t="inlineStr">
        <is>
          <t>Línea de crédito para capital de trabajo de $40,000.00 MXN al 18% anual a 24 meses para financiar el arranque y compra de activos antes del primer cobro de hitos. Interés imputado en 4 meses: $1,321.19 MXN.</t>
        </is>
      </c>
      <c r="G27" s="53" t="inlineStr">
        <is>
          <t>Otorga liquidez inmediata en el Día 1, protegiendo el flujo de efectivo operativo frente a demoras en la validación de entregables del cliente.</t>
        </is>
      </c>
    </row>
    <row r="28" ht="42" customHeight="1">
      <c r="B28" s="45" t="inlineStr">
        <is>
          <t>Fondo de Contingencia y Riesgos (10%)</t>
        </is>
      </c>
      <c r="C28" s="50">
        <f>'RESUMEN Y COTIZACION'!B12</f>
        <v/>
      </c>
      <c r="D28" s="52">
        <f>C28/'RESUMEN Y COTIZACION'!$B$13</f>
        <v/>
      </c>
      <c r="E28" s="64" t="inlineStr">
        <is>
          <t>Gestión de Riesgos</t>
        </is>
      </c>
      <c r="F28" s="53" t="inlineStr">
        <is>
          <t>Reserva estratégica del 10% calculada sobre el costo base total ($57,316.01 MXN), destinada a mitigar desvíos en consumo de cómputo en la nube, fluctuaciones en tipo de cambio USD/MXN y retrabajos menores.</t>
        </is>
      </c>
      <c r="G28" s="53" t="inlineStr">
        <is>
          <t>Blindaje financiero para absorber imprevistos sin comprometer la rentabilidad pactada ni incurrir en sobrecostos no autorizados.</t>
        </is>
      </c>
    </row>
    <row r="29" ht="22" customHeight="1">
      <c r="B29" s="65" t="inlineStr">
        <is>
          <t>TOTAL COSTO INTEGRAL DEL PROYECTO</t>
        </is>
      </c>
      <c r="C29" s="66">
        <f>'RESUMEN Y COTIZACION'!B13</f>
        <v/>
      </c>
      <c r="D29" s="67">
        <f>C29/'RESUMEN Y COTIZACION'!$B$13</f>
        <v/>
      </c>
      <c r="E29" s="68" t="inlineStr">
        <is>
          <t>Costo Total Absoluto</t>
        </is>
      </c>
      <c r="F29" s="69" t="inlineStr">
        <is>
          <t>Suma integral de todos los factores de costo empresarial necesarios para desarrollar, probar y liberar en producción la plataforma web y POS Monchis Café.</t>
        </is>
      </c>
      <c r="G29" s="69" t="inlineStr">
        <is>
          <t>Base analítica sólida para la determinación del precio comercial y justificación técnica ante el comité directivo del cliente.</t>
        </is>
      </c>
    </row>
    <row r="31" ht="24" customHeight="1">
      <c r="B31" s="46" t="inlineStr">
        <is>
          <t>3. ESTRATEGIA DE VENTA COMERCIAL SEGÚN COSTO Y UTILIDAD</t>
        </is>
      </c>
      <c r="C31" s="47" t="n"/>
      <c r="D31" s="47" t="n"/>
      <c r="E31" s="47" t="n"/>
      <c r="F31" s="47" t="n"/>
      <c r="G31" s="47" t="n"/>
    </row>
    <row r="32" ht="22" customHeight="1">
      <c r="B32" s="70" t="inlineStr">
        <is>
          <t>A. MODELO DE FIJACIÓN DE PRECIOS POR VALOR Y MARGEN REAL (PRICING STRATEGY)</t>
        </is>
      </c>
      <c r="C32" s="71" t="n"/>
      <c r="D32" s="71" t="n"/>
      <c r="E32" s="71" t="n"/>
      <c r="F32" s="71" t="n"/>
      <c r="G32" s="71" t="n"/>
    </row>
    <row r="33" ht="72" customHeight="1">
      <c r="B33" s="72" t="inlineStr">
        <is>
          <t>• Determinación del Precio Comercial: Se utiliza la metodología de margen sobre ventas antes de impuestos:
    Precio de Venta = Costo Total / (1 - Margen) = $630,476.09 / (1 - 0.30) = $900,680.12 MXN sin IVA ($1,044,788.94 MXN con IVA).
• Margen vs Recargo (Markup): No se aplica un recargo simple sobre costos (que daría menor rendimiento), sino un margen real del 30.0% sobre el precio de venta facturado. Esto asegura una utilidad bruta de $270,204.04 MXN para la empresa desarrolladora.
• Posicionamiento en el Mercado: La plataforma se posiciona como una solución de ingeniería de grado empresarial, desacoplada y trazable, superando a los POS comerciales genéricos que carecen de trazabilidad ODS, reversas automáticas y atribución digital de marketing.</t>
        </is>
      </c>
      <c r="C33" s="13" t="n"/>
      <c r="D33" s="13" t="n"/>
      <c r="E33" s="13" t="n"/>
      <c r="F33" s="13" t="n"/>
      <c r="G33" s="13" t="n"/>
    </row>
    <row r="35" ht="22" customHeight="1">
      <c r="B35" s="70" t="inlineStr">
        <is>
          <t>B. MODELO DE MONETIZACIÓN HÍBRIDO (IMPLEMENTACIÓN + INGRESOS RECURRENTES)</t>
        </is>
      </c>
      <c r="C35" s="71" t="n"/>
      <c r="D35" s="71" t="n"/>
      <c r="E35" s="71" t="n"/>
      <c r="F35" s="71" t="n"/>
      <c r="G35" s="71" t="n"/>
    </row>
    <row r="36" ht="126" customHeight="1">
      <c r="B36" s="72" t="inlineStr">
        <is>
          <t>1. Venta Inicial Llave en Mano ($900,680.12 MXN + IVA): Licenciamiento perpetuo de la obra de software sobre infraestructura propia del cliente en Google Cloud Platform, configuración de microservicios, migración de catálogos y capacitación presencial a baristas y cajeros.
2. Póliza de Soporte, Mantenimiento Evolutivo y SLA ($18,500.00 MXN + IVA/mes a partir del Mes 5):
    - Disponibilidad 99.5% con monitoreo proactivo de microservicios y Dead Letter Queue (DLQ).
    - Ventana de respuesta crítica &lt; 2 horas ante incidencias de cobro o bloqueo de caja.
    - Actualizaciones menores de dependencias, parches de seguridad y optimizaciones SEO continuas.
    - Margen operativo de la póliza: 55%, aportando un ingreso recurrente anual (ARR) de $222,000.00 MXN.
3. Módulo Adicional Opcional de Franquicias / Nuevas Sucursales: Licencia por sucursal adicional de $45,000.00 MXN + $3,500.00 MXN de soporte mensual si Monchis Café expande operaciones a nuevas ubicaciones.</t>
        </is>
      </c>
      <c r="C36" s="13" t="n"/>
      <c r="D36" s="13" t="n"/>
      <c r="E36" s="13" t="n"/>
      <c r="F36" s="13" t="n"/>
      <c r="G36" s="13" t="n"/>
    </row>
    <row r="38" ht="22" customHeight="1">
      <c r="B38" s="70" t="inlineStr">
        <is>
          <t>C. PROPUESTA DE VALOR Y RETORNO DE INVERSIÓN (ROI) PARA MONCHIS CAFÉ</t>
        </is>
      </c>
      <c r="C38" s="71" t="n"/>
      <c r="D38" s="71" t="n"/>
      <c r="E38" s="71" t="n"/>
      <c r="F38" s="71" t="n"/>
      <c r="G38" s="71" t="n"/>
    </row>
    <row r="39" ht="126" customHeight="1">
      <c r="B39" s="72" t="inlineStr">
        <is>
          <t>La inversión se justifica con beneficios operativos tangibles y medibles para la cafetería en su primer año de operación:
• Reducción de Mermas de Café Orgánico (-22%): Ahorro mensual proyectado de $14,500.00 MXN mediante control PEPS y lotes regionales.
• Incremento en Ticket Promedio (+24%): Generación de $38,500.00 MXN mensuales adicionales gracias a Monchis Rewards (sellos digitales y bonificación de termo -$5.00 MXN alineada a ODS 12).
• Eliminación de Pérdidas por Fuga en Caja (-98%): Recuperación de $9,200.00 MXN mensuales por conciliación automática de pagos mixtos y control de cambio en efectivo.
• Clientes Nuevos por SEO y Campañas Locales: Aportación de $16,800.00 MXN mensuales por tráfico de Google Maps e Instagram.
• Beneficio Mensual Total para el Cliente: $79,000.00 MXN/mes → Beneficio Anual: $948,000.00 MXN.
• Período de Recuperación (Payback Period): $900,680.12 / $79,000.00 = 11.4 meses. ¡La solución se paga sola en menos de un año!</t>
        </is>
      </c>
      <c r="C39" s="13" t="n"/>
      <c r="D39" s="13" t="n"/>
      <c r="E39" s="13" t="n"/>
      <c r="F39" s="13" t="n"/>
      <c r="G39" s="13" t="n"/>
    </row>
    <row r="41" ht="22" customHeight="1">
      <c r="B41" s="70" t="inlineStr">
        <is>
          <t>D. ESQUEMA DE CIERRE Y FINANCIAMIENTO POR HITOS ÁGILES (CASH FLOW PROTEGIDO)</t>
        </is>
      </c>
      <c r="C41" s="71" t="n"/>
      <c r="D41" s="71" t="n"/>
      <c r="E41" s="71" t="n"/>
      <c r="F41" s="71" t="n"/>
      <c r="G41" s="71" t="n"/>
    </row>
    <row r="42" ht="126" customHeight="1">
      <c r="B42" s="72" t="inlineStr">
        <is>
          <t>Para eliminar la fricción de compra y asegurar flujo de efectivo para el equipo, el cobro se divide en 5 exhibiciones contra entregables tangibles en Staging:
• Hito 0 (Firma y Arranque): Anticipo del 20% ($180,136.02 MXN sin IVA) → Cubre licencias, activos y liquidez inicial.
• Hito 1 (Sprint 2 - Backend &amp; Seguridad): 15% ($135,102.02 MXN) → Backend Core, JWT stateless, RBAC y reCAPTCHA.
• Hito 2 (Sprint 4 - Eventos &amp; Frontend): 15% ($135,102.02 MXN) → RabbitMQ Topic Exchange, Patrón Saga y Frontend Vue 3.
• Hito 3 (Sprint 6 - POS &amp; Trazabilidad): 15% ($135,102.02 MXN) → POS mostrador, pagos mixtos y catálogo de café ODS 12.
• Hito 4 (Sprint 8 - Dashboard &amp; Testing): 15% ($135,102.02 MXN) → Dashboard analítico, atribución UTM y suites Vitest/Playwright.
• Hito 5 (Cierre y Despliegue en GCP): Finiquito del 20% ($180,136.02 MXN) → Terraform en GCP, capacitación y entrega de llaves.</t>
        </is>
      </c>
      <c r="C42" s="13" t="n"/>
      <c r="D42" s="13" t="n"/>
      <c r="E42" s="13" t="n"/>
      <c r="F42" s="13" t="n"/>
      <c r="G42" s="13" t="n"/>
    </row>
    <row r="44" ht="24" customHeight="1">
      <c r="B44" s="46" t="inlineStr">
        <is>
          <t>4. ANÁLISIS DE SENSIBILIDAD Y ESCENARIOS DE RENTABILIDAD</t>
        </is>
      </c>
      <c r="C44" s="47" t="n"/>
      <c r="D44" s="47" t="n"/>
      <c r="E44" s="47" t="n"/>
      <c r="F44" s="47" t="n"/>
      <c r="G44" s="47" t="n"/>
    </row>
    <row r="45" ht="22" customHeight="1">
      <c r="B45" s="48" t="inlineStr">
        <is>
          <t>Escenario Comercial</t>
        </is>
      </c>
      <c r="C45" s="49" t="inlineStr">
        <is>
          <t>Margen s/ Venta</t>
        </is>
      </c>
      <c r="D45" s="49" t="inlineStr">
        <is>
          <t>Precio sin IVA (MXN)</t>
        </is>
      </c>
      <c r="E45" s="49" t="inlineStr">
        <is>
          <t>Precio con IVA (16%)</t>
        </is>
      </c>
      <c r="F45" s="49" t="inlineStr">
        <is>
          <t>Utilidad Bruta Proyectada</t>
        </is>
      </c>
      <c r="G45" s="48" t="inlineStr">
        <is>
          <t>Criterio y Estrategia de Negociación</t>
        </is>
      </c>
    </row>
    <row r="46" ht="28" customHeight="1">
      <c r="B46" s="45" t="inlineStr">
        <is>
          <t>Escenario Conservador (Piso Mínimo)</t>
        </is>
      </c>
      <c r="C46" s="52" t="n">
        <v>0.2</v>
      </c>
      <c r="D46" s="50">
        <f>'RESUMEN Y COTIZACION'!B13/(1-C46)</f>
        <v/>
      </c>
      <c r="E46" s="50">
        <f>D46*1.16</f>
        <v/>
      </c>
      <c r="F46" s="50">
        <f>D46-'RESUMEN Y COTIZACION'!$B$13</f>
        <v/>
      </c>
      <c r="G46" s="53" t="inlineStr">
        <is>
          <t>Límite de descuento si el cliente exige reducción presupuestal; se ajusta recortando viáticos presenciales o auditorías externas.</t>
        </is>
      </c>
    </row>
    <row r="47" ht="28" customHeight="1">
      <c r="B47" s="44" t="inlineStr">
        <is>
          <t>Escenario Esperado / Base (Recomendado)</t>
        </is>
      </c>
      <c r="C47" s="56">
        <f>'RESUMEN Y COTIZACION'!B16</f>
        <v/>
      </c>
      <c r="D47" s="54">
        <f>'RESUMEN Y COTIZACION'!B17</f>
        <v/>
      </c>
      <c r="E47" s="54">
        <f>'RESUMEN Y COTIZACION'!B19</f>
        <v/>
      </c>
      <c r="F47" s="54">
        <f>'RESUMEN Y COTIZACION'!B24</f>
        <v/>
      </c>
      <c r="G47" s="57" t="inlineStr">
        <is>
          <t>Propuesta base formal con 30.0% de margen. Maximiza valor, calidad arquitectónica y estabilidad de flujo de caja para la empresa.</t>
        </is>
      </c>
    </row>
    <row r="48" ht="28" customHeight="1">
      <c r="B48" s="45" t="inlineStr">
        <is>
          <t>Escenario Premium / Valor Agregado</t>
        </is>
      </c>
      <c r="C48" s="52" t="n">
        <v>0.35</v>
      </c>
      <c r="D48" s="50">
        <f>'RESUMEN Y COTIZACION'!B13/(1-C48)</f>
        <v/>
      </c>
      <c r="E48" s="50">
        <f>D48*1.16</f>
        <v/>
      </c>
      <c r="F48" s="50">
        <f>D48-'RESUMEN Y COTIZACION'!$B$13</f>
        <v/>
      </c>
      <c r="G48" s="53" t="inlineStr">
        <is>
          <t>Se ofrece integrando 6 meses de póliza de soporte 24/7 post-lanzamiento y analítica avanzada de fidelización y mermas.</t>
        </is>
      </c>
    </row>
    <row r="51">
      <c r="B51" s="51" t="inlineStr">
        <is>
          <t>Documento generado para entrega académica de la Actividad 4: Gestión de Finanzas | Universidad de Guadalajara — Sistema de Educación Virtual / Presencial | Prohibida su reproducción total o parcial sin autorización.</t>
        </is>
      </c>
      <c r="C51" s="13" t="n"/>
      <c r="D51" s="13" t="n"/>
      <c r="E51" s="13" t="n"/>
      <c r="F51" s="13" t="n"/>
      <c r="G51" s="13" t="n"/>
    </row>
  </sheetData>
  <mergeCells count="21">
    <mergeCell ref="B2:G2"/>
    <mergeCell ref="C6:D6"/>
    <mergeCell ref="B42:G42"/>
    <mergeCell ref="C5:D5"/>
    <mergeCell ref="F6:G6"/>
    <mergeCell ref="B44:G44"/>
    <mergeCell ref="F7:G7"/>
    <mergeCell ref="B38:G38"/>
    <mergeCell ref="F5:G5"/>
    <mergeCell ref="B9:G9"/>
    <mergeCell ref="B33:G33"/>
    <mergeCell ref="B51:G51"/>
    <mergeCell ref="B36:G36"/>
    <mergeCell ref="B41:G41"/>
    <mergeCell ref="B32:G32"/>
    <mergeCell ref="B35:G35"/>
    <mergeCell ref="B3:G3"/>
    <mergeCell ref="C7:D7"/>
    <mergeCell ref="B31:G31"/>
    <mergeCell ref="B21:G21"/>
    <mergeCell ref="B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2026-10-20T22:03:57Z</dcterms:created>
  <dcterms:modified xmlns:dcterms="http://purl.org/dc/terms/" xmlns:xsi="http://www.w3.org/2001/XMLSchema-instance" xsi:type="dcterms:W3CDTF">2026-10-20T22:06:31Z</dcterms:modified>
  <cp:lastModifiedBy>Profesor</cp:lastModifiedBy>
</cp:coreProperties>
</file>