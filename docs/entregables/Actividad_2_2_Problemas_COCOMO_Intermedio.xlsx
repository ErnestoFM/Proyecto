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olución_Problemas" sheetId="1" state="visible" r:id="rId1"/>
    <sheet xmlns:r="http://schemas.openxmlformats.org/officeDocument/2006/relationships" name="Matriz_EAF" sheetId="2" state="visible" r:id="rId2"/>
    <sheet xmlns:r="http://schemas.openxmlformats.org/officeDocument/2006/relationships" name="Coeficien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0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E2E8F0"/>
      <sz val="10"/>
    </font>
    <font>
      <name val="Calibri"/>
      <b val="1"/>
      <color rgb="001B365D"/>
      <sz val="12"/>
    </font>
    <font>
      <name val="Calibri"/>
      <b val="1"/>
      <color rgb="00FFFFFF"/>
      <sz val="9.5"/>
    </font>
    <font>
      <name val="Calibri"/>
      <b val="1"/>
      <color rgb="000F172A"/>
      <sz val="10"/>
    </font>
    <font>
      <name val="Calibri"/>
      <color rgb="001E293B"/>
      <sz val="10"/>
    </font>
    <font>
      <name val="Calibri"/>
      <b val="1"/>
      <color rgb="00FFFFFF"/>
      <sz val="9"/>
    </font>
    <font>
      <name val="Calibri"/>
      <i val="1"/>
      <color rgb="0064748B"/>
      <sz val="9"/>
    </font>
    <font>
      <name val="Calibri"/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C3E50"/>
        <bgColor rgb="002C3E50"/>
      </patternFill>
    </fill>
    <fill>
      <patternFill patternType="solid">
        <fgColor rgb="00EBF3FA"/>
        <bgColor rgb="00EBF3FA"/>
      </patternFill>
    </fill>
    <fill>
      <patternFill patternType="solid">
        <fgColor rgb="00F8FAFC"/>
        <bgColor rgb="00F8FAFC"/>
      </patternFill>
    </fill>
    <fill>
      <patternFill patternType="solid">
        <fgColor rgb="00008080"/>
        <bgColor rgb="00008080"/>
      </patternFill>
    </fill>
    <fill>
      <patternFill patternType="solid">
        <fgColor rgb="00F0FDF4"/>
        <bgColor rgb="00F0FDF4"/>
      </patternFill>
    </fill>
    <fill>
      <patternFill patternType="solid">
        <fgColor rgb="00FEF9C3"/>
        <bgColor rgb="00FEF9C3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16A34A"/>
      </left>
      <right style="thin">
        <color rgb="0016A34A"/>
      </right>
      <top style="thin">
        <color rgb="0016A34A"/>
      </top>
      <bottom style="double">
        <color rgb="0016A34A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2" fontId="6" fillId="4" borderId="1" applyAlignment="1" pivotButton="0" quotePrefix="0" xfId="0">
      <alignment horizontal="right" vertical="center"/>
    </xf>
    <xf numFmtId="4" fontId="6" fillId="4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  <xf numFmtId="164" fontId="6" fillId="4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2" fontId="6" fillId="5" borderId="1" applyAlignment="1" pivotButton="0" quotePrefix="0" xfId="0">
      <alignment horizontal="right" vertical="center"/>
    </xf>
    <xf numFmtId="4" fontId="6" fillId="5" borderId="1" applyAlignment="1" pivotButton="0" quotePrefix="0" xfId="0">
      <alignment horizontal="right" vertical="center"/>
    </xf>
    <xf numFmtId="4" fontId="5" fillId="5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center" vertical="center"/>
    </xf>
    <xf numFmtId="2" fontId="6" fillId="5" borderId="1" pivotButton="0" quotePrefix="0" xfId="0"/>
    <xf numFmtId="4" fontId="6" fillId="5" borderId="1" pivotButton="0" quotePrefix="0" xfId="0"/>
    <xf numFmtId="0" fontId="6" fillId="5" borderId="1" applyAlignment="1" pivotButton="0" quotePrefix="0" xfId="0">
      <alignment horizontal="left" vertical="center"/>
    </xf>
    <xf numFmtId="165" fontId="6" fillId="5" borderId="1" pivotButton="0" quotePrefix="0" xfId="0"/>
    <xf numFmtId="4" fontId="5" fillId="7" borderId="2" pivotButton="0" quotePrefix="0" xfId="0"/>
    <xf numFmtId="0" fontId="5" fillId="7" borderId="2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164" fontId="6" fillId="5" borderId="1" pivotButton="0" quotePrefix="0" xfId="0"/>
    <xf numFmtId="164" fontId="5" fillId="7" borderId="2" pivotButton="0" quotePrefix="0" xfId="0"/>
    <xf numFmtId="0" fontId="9" fillId="6" borderId="1" applyAlignment="1" pivotButton="0" quotePrefix="0" xfId="0">
      <alignment horizontal="center" vertical="center"/>
    </xf>
    <xf numFmtId="0" fontId="5" fillId="4" borderId="0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2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2" fontId="6" fillId="4" borderId="1" applyAlignment="1" pivotButton="0" quotePrefix="0" xfId="0">
      <alignment horizontal="center" vertical="center"/>
    </xf>
    <xf numFmtId="2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1" customWidth="1" min="2" max="2"/>
    <col width="19" customWidth="1" min="3" max="3"/>
    <col width="19" customWidth="1" min="4" max="4"/>
    <col width="26" customWidth="1" min="5" max="5"/>
    <col width="38" customWidth="1" min="6" max="6"/>
    <col width="42" customWidth="1" min="7" max="7"/>
    <col width="14" customWidth="1" min="8" max="8"/>
    <col width="50" customWidth="1" min="9" max="9"/>
    <col width="13" customWidth="1" min="10" max="10"/>
    <col width="18" customWidth="1" min="11" max="11"/>
  </cols>
  <sheetData>
    <row r="1" ht="36" customHeight="1">
      <c r="A1" s="1" t="inlineStr">
        <is>
          <t>ACTIVIDAD 2.2: PROBLEMAS COCOMO INTERMEDIO — HOJA AUTOMATIZADA</t>
        </is>
      </c>
    </row>
    <row r="2" ht="20" customHeight="1">
      <c r="A2" s="2" t="inlineStr">
        <is>
          <t>Materia: Administración de Proyectos de Software · Docente: Dr. Gabriel Navarro Salcedo · Estudiante: Ernesto Fierro</t>
        </is>
      </c>
    </row>
    <row r="3"/>
    <row r="4">
      <c r="A4" s="3" t="inlineStr">
        <is>
          <t>MATRIZ GENERAL DE RESULTADOS DE LOS PROBLEMAS I AL V</t>
        </is>
      </c>
    </row>
    <row r="5" ht="26" customHeight="1">
      <c r="A5" s="4" t="inlineStr">
        <is>
          <t>Problema</t>
        </is>
      </c>
      <c r="B5" s="4" t="inlineStr">
        <is>
          <t>Modo de Desarrollo</t>
        </is>
      </c>
      <c r="C5" s="4" t="inlineStr">
        <is>
          <t>Tamaño (KLOC)</t>
        </is>
      </c>
      <c r="D5" s="4" t="inlineStr">
        <is>
          <t>Coef. A</t>
        </is>
      </c>
      <c r="E5" s="4" t="inlineStr">
        <is>
          <t>Exp. B</t>
        </is>
      </c>
      <c r="F5" s="4" t="inlineStr">
        <is>
          <t>PM Nominal</t>
        </is>
      </c>
      <c r="G5" s="4" t="inlineStr">
        <is>
          <t>Factor EAF</t>
        </is>
      </c>
      <c r="H5" s="4" t="inlineStr">
        <is>
          <t>PM Ajustado</t>
        </is>
      </c>
      <c r="I5" s="4" t="inlineStr">
        <is>
          <t>TDEV (Meses)</t>
        </is>
      </c>
      <c r="J5" s="4" t="inlineStr">
        <is>
          <t>Costo / PM</t>
        </is>
      </c>
      <c r="K5" s="4" t="inlineStr">
        <is>
          <t>Costo Total (MXN)</t>
        </is>
      </c>
    </row>
    <row r="6" ht="20" customHeight="1">
      <c r="A6" s="5" t="inlineStr">
        <is>
          <t>Problema I (Ejemplo)</t>
        </is>
      </c>
      <c r="B6" s="6">
        <f>A15</f>
        <v/>
      </c>
      <c r="C6" s="7">
        <f>B15</f>
        <v/>
      </c>
      <c r="D6" s="7">
        <f>C15</f>
        <v/>
      </c>
      <c r="E6" s="7">
        <f>D15</f>
        <v/>
      </c>
      <c r="F6" s="8">
        <f>E15</f>
        <v/>
      </c>
      <c r="G6" s="8">
        <f>G15</f>
        <v/>
      </c>
      <c r="H6" s="9">
        <f>H15</f>
        <v/>
      </c>
      <c r="I6" s="9">
        <f>I15</f>
        <v/>
      </c>
      <c r="J6" s="10">
        <f>J15</f>
        <v/>
      </c>
      <c r="K6" s="11">
        <f>K15</f>
        <v/>
      </c>
    </row>
    <row r="7" ht="20" customHeight="1">
      <c r="A7" s="12" t="inlineStr">
        <is>
          <t>Problema II</t>
        </is>
      </c>
      <c r="B7" s="13">
        <f>A24</f>
        <v/>
      </c>
      <c r="C7" s="14">
        <f>B24</f>
        <v/>
      </c>
      <c r="D7" s="14">
        <f>C24</f>
        <v/>
      </c>
      <c r="E7" s="14">
        <f>D24</f>
        <v/>
      </c>
      <c r="F7" s="15">
        <f>E24</f>
        <v/>
      </c>
      <c r="G7" s="15">
        <f>G24</f>
        <v/>
      </c>
      <c r="H7" s="16">
        <f>H24</f>
        <v/>
      </c>
      <c r="I7" s="16">
        <f>I24</f>
        <v/>
      </c>
      <c r="J7" s="17">
        <f>J24</f>
        <v/>
      </c>
      <c r="K7" s="18">
        <f>K24</f>
        <v/>
      </c>
    </row>
    <row r="8" ht="20" customHeight="1">
      <c r="A8" s="5" t="inlineStr">
        <is>
          <t>Problema III</t>
        </is>
      </c>
      <c r="B8" s="6">
        <f>A33</f>
        <v/>
      </c>
      <c r="C8" s="7">
        <f>B33</f>
        <v/>
      </c>
      <c r="D8" s="7">
        <f>C33</f>
        <v/>
      </c>
      <c r="E8" s="7">
        <f>D33</f>
        <v/>
      </c>
      <c r="F8" s="8">
        <f>E33</f>
        <v/>
      </c>
      <c r="G8" s="8">
        <f>G33</f>
        <v/>
      </c>
      <c r="H8" s="9">
        <f>H33</f>
        <v/>
      </c>
      <c r="I8" s="9">
        <f>I33</f>
        <v/>
      </c>
      <c r="J8" s="10">
        <f>J33</f>
        <v/>
      </c>
      <c r="K8" s="11">
        <f>K33</f>
        <v/>
      </c>
    </row>
    <row r="9" ht="20" customHeight="1">
      <c r="A9" s="12" t="inlineStr">
        <is>
          <t>Problema IV</t>
        </is>
      </c>
      <c r="B9" s="13">
        <f>A42</f>
        <v/>
      </c>
      <c r="C9" s="14">
        <f>B42</f>
        <v/>
      </c>
      <c r="D9" s="14">
        <f>C42</f>
        <v/>
      </c>
      <c r="E9" s="14">
        <f>D42</f>
        <v/>
      </c>
      <c r="F9" s="15">
        <f>E42</f>
        <v/>
      </c>
      <c r="G9" s="15">
        <f>G42</f>
        <v/>
      </c>
      <c r="H9" s="16">
        <f>H42</f>
        <v/>
      </c>
      <c r="I9" s="16">
        <f>I42</f>
        <v/>
      </c>
      <c r="J9" s="17">
        <f>J42</f>
        <v/>
      </c>
      <c r="K9" s="18">
        <f>K42</f>
        <v/>
      </c>
    </row>
    <row r="10" ht="20" customHeight="1">
      <c r="A10" s="5" t="inlineStr">
        <is>
          <t>Problema V</t>
        </is>
      </c>
      <c r="B10" s="6">
        <f>A51</f>
        <v/>
      </c>
      <c r="C10" s="7">
        <f>B51</f>
        <v/>
      </c>
      <c r="D10" s="7">
        <f>C51</f>
        <v/>
      </c>
      <c r="E10" s="7">
        <f>D51</f>
        <v/>
      </c>
      <c r="F10" s="8">
        <f>E51</f>
        <v/>
      </c>
      <c r="G10" s="8">
        <f>G51</f>
        <v/>
      </c>
      <c r="H10" s="9">
        <f>H51</f>
        <v/>
      </c>
      <c r="I10" s="9">
        <f>I51</f>
        <v/>
      </c>
      <c r="J10" s="10">
        <f>J51</f>
        <v/>
      </c>
      <c r="K10" s="11">
        <f>K51</f>
        <v/>
      </c>
    </row>
    <row r="11"/>
    <row r="12"/>
    <row r="13" ht="22" customHeight="1">
      <c r="A13" s="3" t="inlineStr">
        <is>
          <t>PROBLEMA I (Ejemplo Resuelto de Clase): Proyecto Semiacoplado de 50 KLOC con variables RELY(4), DATA(3), SCED(3)</t>
        </is>
      </c>
    </row>
    <row r="14" ht="22" customHeight="1">
      <c r="A14" s="19" t="inlineStr">
        <is>
          <t>Modo</t>
        </is>
      </c>
      <c r="B14" s="19" t="inlineStr">
        <is>
          <t>KLOC</t>
        </is>
      </c>
      <c r="C14" s="19" t="inlineStr">
        <is>
          <t>Coef A</t>
        </is>
      </c>
      <c r="D14" s="19" t="inlineStr">
        <is>
          <t>Exp B</t>
        </is>
      </c>
      <c r="E14" s="19" t="inlineStr">
        <is>
          <t>PM Nominal</t>
        </is>
      </c>
      <c r="F14" s="19" t="inlineStr">
        <is>
          <t>Factores EAF Evaluados</t>
        </is>
      </c>
      <c r="G14" s="19" t="inlineStr">
        <is>
          <t>Cálculo EAF</t>
        </is>
      </c>
      <c r="H14" s="19" t="inlineStr">
        <is>
          <t>PM Ajustado</t>
        </is>
      </c>
      <c r="I14" s="19" t="inlineStr">
        <is>
          <t>TDEV (Meses)</t>
        </is>
      </c>
      <c r="J14" s="19" t="inlineStr">
        <is>
          <t>Costo / PM</t>
        </is>
      </c>
      <c r="K14" s="19" t="inlineStr">
        <is>
          <t>Costo Total</t>
        </is>
      </c>
    </row>
    <row r="15" ht="24" customHeight="1">
      <c r="A15" s="13" t="inlineStr">
        <is>
          <t>Semiacoplado</t>
        </is>
      </c>
      <c r="B15" s="20" t="n">
        <v>50</v>
      </c>
      <c r="C15" s="20">
        <f>Coeficientes!B7</f>
        <v/>
      </c>
      <c r="D15" s="20">
        <f>Coeficientes!C7</f>
        <v/>
      </c>
      <c r="E15" s="21">
        <f>C15*POTENCIA(B15, D15)</f>
        <v/>
      </c>
      <c r="F15" s="22" t="inlineStr">
        <is>
          <t>RELY(4)=1.15 · DATA(3)=1.0 · SCED(3)=1.0</t>
        </is>
      </c>
      <c r="G15" s="23">
        <f>1.15*1.0*1.0</f>
        <v/>
      </c>
      <c r="H15" s="24">
        <f>E15*G15</f>
        <v/>
      </c>
      <c r="I15" s="24">
        <f>Coeficientes!D7*POTENCIA(H15, Coeficientes!E7)</f>
        <v/>
      </c>
      <c r="J15" s="13" t="inlineStr">
        <is>
          <t>-</t>
        </is>
      </c>
      <c r="K15" s="25" t="inlineStr">
        <is>
          <t>-</t>
        </is>
      </c>
    </row>
    <row r="16" ht="20" customHeight="1">
      <c r="A16" s="26" t="inlineStr">
        <is>
          <t>→ RESPUESTA TÉCNICA: Con un tamaño de 50 KLOC y EAF de 1.15, se requiere un esfuerzo ajustado de 275.85 persona-mes (aprox. 276 PM), idéntico al resultado oficial de la diapositiva 6.</t>
        </is>
      </c>
    </row>
    <row r="17"/>
    <row r="18"/>
    <row r="19"/>
    <row r="20"/>
    <row r="21"/>
    <row r="22" ht="22" customHeight="1">
      <c r="A22" s="3" t="inlineStr">
        <is>
          <t>PROBLEMA II: Proyecto Semiacoplado de 100 KLOC con variables RELY(5), DATA(4), CPLX(3), TIME(4), VIRT(2)</t>
        </is>
      </c>
    </row>
    <row r="23" ht="22" customHeight="1">
      <c r="A23" s="19" t="inlineStr">
        <is>
          <t>Modo</t>
        </is>
      </c>
      <c r="B23" s="19" t="inlineStr">
        <is>
          <t>KLOC</t>
        </is>
      </c>
      <c r="C23" s="19" t="inlineStr">
        <is>
          <t>Coef A</t>
        </is>
      </c>
      <c r="D23" s="19" t="inlineStr">
        <is>
          <t>Exp B</t>
        </is>
      </c>
      <c r="E23" s="19" t="inlineStr">
        <is>
          <t>PM Nominal</t>
        </is>
      </c>
      <c r="F23" s="19" t="inlineStr">
        <is>
          <t>Factores EAF Evaluados</t>
        </is>
      </c>
      <c r="G23" s="19" t="inlineStr">
        <is>
          <t>Cálculo EAF</t>
        </is>
      </c>
      <c r="H23" s="19" t="inlineStr">
        <is>
          <t>PM Ajustado</t>
        </is>
      </c>
      <c r="I23" s="19" t="inlineStr">
        <is>
          <t>TDEV (Meses)</t>
        </is>
      </c>
      <c r="J23" s="19" t="inlineStr">
        <is>
          <t>Costo / PM</t>
        </is>
      </c>
      <c r="K23" s="19" t="inlineStr">
        <is>
          <t>Costo Total</t>
        </is>
      </c>
    </row>
    <row r="24" ht="24" customHeight="1">
      <c r="A24" s="13" t="inlineStr">
        <is>
          <t>Semiacoplado</t>
        </is>
      </c>
      <c r="B24" s="20" t="n">
        <v>100</v>
      </c>
      <c r="C24" s="20">
        <f>Coeficientes!B7</f>
        <v/>
      </c>
      <c r="D24" s="20">
        <f>Coeficientes!C7</f>
        <v/>
      </c>
      <c r="E24" s="21">
        <f>C24*POTENCIA(B24, D24)</f>
        <v/>
      </c>
      <c r="F24" s="22" t="inlineStr">
        <is>
          <t>RELY(5)=1.4 · DATA(4)=1.08 · CPLX(3)=1.0 · TIME(4)=1.11 · VIRT(2)=0.87</t>
        </is>
      </c>
      <c r="G24" s="23">
        <f>1.4*1.08*1.0*1.11*0.87</f>
        <v/>
      </c>
      <c r="H24" s="24">
        <f>E24*G24</f>
        <v/>
      </c>
      <c r="I24" s="24">
        <f>Coeficientes!D7*POTENCIA(H24, Coeficientes!E7)</f>
        <v/>
      </c>
      <c r="J24" s="13" t="inlineStr">
        <is>
          <t>-</t>
        </is>
      </c>
      <c r="K24" s="25" t="inlineStr">
        <is>
          <t>-</t>
        </is>
      </c>
    </row>
    <row r="25" ht="20" customHeight="1">
      <c r="A25" s="26" t="inlineStr">
        <is>
          <t>→ RESPUESTA TÉCNICA: Para 100 KLOC en modo Semiacoplado con EAF = 1.4601, se requiere un esfuerzo ajustado de 761.23 persona-mes (aprox. 761 PM).</t>
        </is>
      </c>
    </row>
    <row r="26"/>
    <row r="27"/>
    <row r="28"/>
    <row r="29"/>
    <row r="30"/>
    <row r="31" ht="22" customHeight="1">
      <c r="A31" s="3" t="inlineStr">
        <is>
          <t>PROBLEMA III: Proyecto Empotrado de 300 KLOC. Se solicita TIEMPO DE DESARROLLO (TDEV)</t>
        </is>
      </c>
    </row>
    <row r="32" ht="22" customHeight="1">
      <c r="A32" s="19" t="inlineStr">
        <is>
          <t>Modo</t>
        </is>
      </c>
      <c r="B32" s="19" t="inlineStr">
        <is>
          <t>KLOC</t>
        </is>
      </c>
      <c r="C32" s="19" t="inlineStr">
        <is>
          <t>Coef A</t>
        </is>
      </c>
      <c r="D32" s="19" t="inlineStr">
        <is>
          <t>Exp B</t>
        </is>
      </c>
      <c r="E32" s="19" t="inlineStr">
        <is>
          <t>PM Nominal</t>
        </is>
      </c>
      <c r="F32" s="19" t="inlineStr">
        <is>
          <t>Factores EAF Evaluados</t>
        </is>
      </c>
      <c r="G32" s="19" t="inlineStr">
        <is>
          <t>Cálculo EAF</t>
        </is>
      </c>
      <c r="H32" s="19" t="inlineStr">
        <is>
          <t>PM Ajustado</t>
        </is>
      </c>
      <c r="I32" s="19" t="inlineStr">
        <is>
          <t>TDEV (Meses)</t>
        </is>
      </c>
      <c r="J32" s="19" t="inlineStr">
        <is>
          <t>Costo / PM</t>
        </is>
      </c>
      <c r="K32" s="19" t="inlineStr">
        <is>
          <t>Costo Total</t>
        </is>
      </c>
    </row>
    <row r="33" ht="24" customHeight="1">
      <c r="A33" s="13" t="inlineStr">
        <is>
          <t>Empotrado</t>
        </is>
      </c>
      <c r="B33" s="20" t="n">
        <v>300</v>
      </c>
      <c r="C33" s="20">
        <f>Coeficientes!B8</f>
        <v/>
      </c>
      <c r="D33" s="20">
        <f>Coeficientes!C8</f>
        <v/>
      </c>
      <c r="E33" s="21">
        <f>C33*POTENCIA(B33, D33)</f>
        <v/>
      </c>
      <c r="F33" s="22" t="inlineStr">
        <is>
          <t>RELY(4)=1.15 · DATA(5)=1.16 · CPLX(2)=0.85 · ACAP(1)=1.46 · VIRT(3)=1.0</t>
        </is>
      </c>
      <c r="G33" s="23">
        <f>1.15*1.16*0.85*1.46*1.0</f>
        <v/>
      </c>
      <c r="H33" s="24">
        <f>E33*G33</f>
        <v/>
      </c>
      <c r="I33" s="24">
        <f>Coeficientes!D8*POTENCIA(H33, Coeficientes!E8)</f>
        <v/>
      </c>
      <c r="J33" s="13" t="inlineStr">
        <is>
          <t>-</t>
        </is>
      </c>
      <c r="K33" s="25" t="inlineStr">
        <is>
          <t>-</t>
        </is>
      </c>
    </row>
    <row r="34" ht="20" customHeight="1">
      <c r="A34" s="26" t="inlineStr">
        <is>
          <t>→ RESPUESTA TÉCNICA: Con 300 KLOC en modo Empotrado (EAF = 1.6555 y PM ajustado = 4,351.42 PM), el tiempo estimado de desarrollo TDEV = 2.5*(4351.42)^0.32 es de 36.50 meses (aprox. 3 años).</t>
        </is>
      </c>
    </row>
    <row r="35"/>
    <row r="36"/>
    <row r="37"/>
    <row r="38"/>
    <row r="39"/>
    <row r="40" ht="22" customHeight="1">
      <c r="A40" s="3" t="inlineStr">
        <is>
          <t>PROBLEMA IV: Proyecto Orgánico de 20 KLOC con costo de $10,000 MXN/PM. Se solicita COSTO TOTAL</t>
        </is>
      </c>
    </row>
    <row r="41" ht="22" customHeight="1">
      <c r="A41" s="19" t="inlineStr">
        <is>
          <t>Modo</t>
        </is>
      </c>
      <c r="B41" s="19" t="inlineStr">
        <is>
          <t>KLOC</t>
        </is>
      </c>
      <c r="C41" s="19" t="inlineStr">
        <is>
          <t>Coef A</t>
        </is>
      </c>
      <c r="D41" s="19" t="inlineStr">
        <is>
          <t>Exp B</t>
        </is>
      </c>
      <c r="E41" s="19" t="inlineStr">
        <is>
          <t>PM Nominal</t>
        </is>
      </c>
      <c r="F41" s="19" t="inlineStr">
        <is>
          <t>Factores EAF Evaluados</t>
        </is>
      </c>
      <c r="G41" s="19" t="inlineStr">
        <is>
          <t>Cálculo EAF</t>
        </is>
      </c>
      <c r="H41" s="19" t="inlineStr">
        <is>
          <t>PM Ajustado</t>
        </is>
      </c>
      <c r="I41" s="19" t="inlineStr">
        <is>
          <t>TDEV (Meses)</t>
        </is>
      </c>
      <c r="J41" s="19" t="inlineStr">
        <is>
          <t>Costo / PM</t>
        </is>
      </c>
      <c r="K41" s="19" t="inlineStr">
        <is>
          <t>Costo Total</t>
        </is>
      </c>
    </row>
    <row r="42" ht="24" customHeight="1">
      <c r="A42" s="13" t="inlineStr">
        <is>
          <t>Orgánico</t>
        </is>
      </c>
      <c r="B42" s="20" t="n">
        <v>20</v>
      </c>
      <c r="C42" s="20">
        <f>Coeficientes!B6</f>
        <v/>
      </c>
      <c r="D42" s="20">
        <f>Coeficientes!C6</f>
        <v/>
      </c>
      <c r="E42" s="21">
        <f>C42*POTENCIA(B42, D42)</f>
        <v/>
      </c>
      <c r="F42" s="22" t="inlineStr">
        <is>
          <t>RELY(1)=0.75 · DATA(5)=1.16 · CPLX(2)=0.85 · TIME(4)=1.11 · ACAP(1)=1.46 · VIRT(2)=0.87 · TOOL(3)=1.0</t>
        </is>
      </c>
      <c r="G42" s="23">
        <f>0.75*1.16*0.85*1.11*1.46*0.87*1.0</f>
        <v/>
      </c>
      <c r="H42" s="24">
        <f>E42*G42</f>
        <v/>
      </c>
      <c r="I42" s="24">
        <f>Coeficientes!D6*POTENCIA(H42, Coeficientes!E6)</f>
        <v/>
      </c>
      <c r="J42" s="27" t="n">
        <v>10000</v>
      </c>
      <c r="K42" s="28">
        <f>H42*J42</f>
        <v/>
      </c>
    </row>
    <row r="43" ht="20" customHeight="1">
      <c r="A43" s="26" t="inlineStr">
        <is>
          <t>→ RESPUESTA TÉCNICA: Para 20 KLOC en modo Orgánico (EAF = 1.0426 y PM ajustado = 77.51 PM) a $10,000/PM, el costo total del proyecto asciende a $775,112.00 MXN.</t>
        </is>
      </c>
    </row>
    <row r="44"/>
    <row r="45"/>
    <row r="46"/>
    <row r="47"/>
    <row r="48"/>
    <row r="49" ht="22" customHeight="1">
      <c r="A49" s="3" t="inlineStr">
        <is>
          <t>PROBLEMA V: Proyecto Empotrado de 311 KLOC con costo de $25,000 MXN/PM. Se solicita TIEMPO Y COSTO</t>
        </is>
      </c>
    </row>
    <row r="50" ht="22" customHeight="1">
      <c r="A50" s="19" t="inlineStr">
        <is>
          <t>Modo</t>
        </is>
      </c>
      <c r="B50" s="19" t="inlineStr">
        <is>
          <t>KLOC</t>
        </is>
      </c>
      <c r="C50" s="19" t="inlineStr">
        <is>
          <t>Coef A</t>
        </is>
      </c>
      <c r="D50" s="19" t="inlineStr">
        <is>
          <t>Exp B</t>
        </is>
      </c>
      <c r="E50" s="19" t="inlineStr">
        <is>
          <t>PM Nominal</t>
        </is>
      </c>
      <c r="F50" s="19" t="inlineStr">
        <is>
          <t>Factores EAF Evaluados</t>
        </is>
      </c>
      <c r="G50" s="19" t="inlineStr">
        <is>
          <t>Cálculo EAF</t>
        </is>
      </c>
      <c r="H50" s="19" t="inlineStr">
        <is>
          <t>PM Ajustado</t>
        </is>
      </c>
      <c r="I50" s="19" t="inlineStr">
        <is>
          <t>TDEV (Meses)</t>
        </is>
      </c>
      <c r="J50" s="19" t="inlineStr">
        <is>
          <t>Costo / PM</t>
        </is>
      </c>
      <c r="K50" s="19" t="inlineStr">
        <is>
          <t>Costo Total</t>
        </is>
      </c>
    </row>
    <row r="51" ht="24" customHeight="1">
      <c r="A51" s="13" t="inlineStr">
        <is>
          <t>Empotrado</t>
        </is>
      </c>
      <c r="B51" s="20" t="n">
        <v>311</v>
      </c>
      <c r="C51" s="20">
        <f>Coeficientes!B8</f>
        <v/>
      </c>
      <c r="D51" s="20">
        <f>Coeficientes!C8</f>
        <v/>
      </c>
      <c r="E51" s="21">
        <f>C51*POTENCIA(B51, D51)</f>
        <v/>
      </c>
      <c r="F51" s="22" t="inlineStr">
        <is>
          <t>RELY(1)=0.75 · DATA(5)=1.16 · CPLX(2)=0.85 · TIME(4)=1.11 · ACAP(1)=1.46 · VIRT(2)=0.87 · TOOL(3)=1.0 · SCED(4)=1.04</t>
        </is>
      </c>
      <c r="G51" s="23">
        <f>0.75*1.16*0.85*1.11*1.46*0.87*1.0*1.04</f>
        <v/>
      </c>
      <c r="H51" s="24">
        <f>E51*G51</f>
        <v/>
      </c>
      <c r="I51" s="24">
        <f>Coeficientes!D8*POTENCIA(H51, Coeficientes!E8)</f>
        <v/>
      </c>
      <c r="J51" s="27" t="n">
        <v>25000</v>
      </c>
      <c r="K51" s="28">
        <f>H51*J51</f>
        <v/>
      </c>
    </row>
    <row r="52" ht="20" customHeight="1">
      <c r="A52" s="26" t="inlineStr">
        <is>
          <t>→ RESPUESTA TÉCNICA: Para 311 KLOC en modo Empotrado (EAF = 1.0843 y PM ajustado = 2,976.03 PM), el tiempo es de 32.32 meses y el costo total asciende a $74,400,715.00 MXN.</t>
        </is>
      </c>
    </row>
  </sheetData>
  <mergeCells count="13">
    <mergeCell ref="A22:K22"/>
    <mergeCell ref="A34:K34"/>
    <mergeCell ref="A4:K4"/>
    <mergeCell ref="A25:K25"/>
    <mergeCell ref="A43:K43"/>
    <mergeCell ref="A2:K2"/>
    <mergeCell ref="A16:K16"/>
    <mergeCell ref="A49:K49"/>
    <mergeCell ref="A52:K52"/>
    <mergeCell ref="A13:K13"/>
    <mergeCell ref="A1:K1"/>
    <mergeCell ref="A40:K40"/>
    <mergeCell ref="A31:K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1"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1" customWidth="1" min="3" max="3"/>
    <col width="14" customWidth="1" min="4" max="4"/>
    <col width="11" customWidth="1" min="5" max="5"/>
    <col width="15" customWidth="1" min="6" max="6"/>
    <col width="15" customWidth="1" min="7" max="7"/>
  </cols>
  <sheetData>
    <row r="1" ht="30" customHeight="1">
      <c r="A1" s="1" t="inlineStr">
        <is>
          <t>TABLA DE CALIFICACIÓN DE LOS 15 CONDUCTORES DE COSTE (COST DRIVERS DE BOEHM)</t>
        </is>
      </c>
    </row>
    <row r="2"/>
    <row r="3" ht="24" customHeight="1">
      <c r="A3" s="29" t="inlineStr">
        <is>
          <t>Conductor de Coste (Cost Driver)</t>
        </is>
      </c>
      <c r="B3" s="29" t="inlineStr">
        <is>
          <t>Muy Bajo (1)</t>
        </is>
      </c>
      <c r="C3" s="29" t="inlineStr">
        <is>
          <t>Bajo (2)</t>
        </is>
      </c>
      <c r="D3" s="29" t="inlineStr">
        <is>
          <t>Nominal (3)</t>
        </is>
      </c>
      <c r="E3" s="29" t="inlineStr">
        <is>
          <t>Alto (4)</t>
        </is>
      </c>
      <c r="F3" s="29" t="inlineStr">
        <is>
          <t>Muy Alto (5)</t>
        </is>
      </c>
      <c r="G3" s="29" t="inlineStr">
        <is>
          <t>Superior (6)</t>
        </is>
      </c>
    </row>
    <row r="4" ht="20" customHeight="1">
      <c r="A4" s="30" t="inlineStr">
        <is>
          <t>CUALIDADES DEL PRODUCTO</t>
        </is>
      </c>
    </row>
    <row r="5" ht="18" customHeight="1">
      <c r="A5" s="31" t="inlineStr">
        <is>
          <t>Confiabilidad requerida del software (RELY)</t>
        </is>
      </c>
      <c r="B5" s="32" t="n">
        <v>0.75</v>
      </c>
      <c r="C5" s="32" t="n">
        <v>0.88</v>
      </c>
      <c r="D5" s="32" t="n">
        <v>1</v>
      </c>
      <c r="E5" s="32" t="n">
        <v>1.15</v>
      </c>
      <c r="F5" s="32" t="n">
        <v>1.4</v>
      </c>
      <c r="G5" s="33" t="inlineStr">
        <is>
          <t>-</t>
        </is>
      </c>
    </row>
    <row r="6" ht="18" customHeight="1">
      <c r="A6" s="31" t="inlineStr">
        <is>
          <t>Tamaño de la base de datos del uso (DATA)</t>
        </is>
      </c>
      <c r="B6" s="33" t="inlineStr">
        <is>
          <t>-</t>
        </is>
      </c>
      <c r="C6" s="32" t="n">
        <v>0.9399999999999999</v>
      </c>
      <c r="D6" s="32" t="n">
        <v>1</v>
      </c>
      <c r="E6" s="32" t="n">
        <v>1.08</v>
      </c>
      <c r="F6" s="32" t="n">
        <v>1.16</v>
      </c>
      <c r="G6" s="33" t="inlineStr">
        <is>
          <t>-</t>
        </is>
      </c>
    </row>
    <row r="7" ht="18" customHeight="1">
      <c r="A7" s="31" t="inlineStr">
        <is>
          <t>Complejidad del producto (CPLX)</t>
        </is>
      </c>
      <c r="B7" s="32" t="n">
        <v>0.7</v>
      </c>
      <c r="C7" s="32" t="n">
        <v>0.85</v>
      </c>
      <c r="D7" s="32" t="n">
        <v>1</v>
      </c>
      <c r="E7" s="32" t="n">
        <v>1.15</v>
      </c>
      <c r="F7" s="32" t="n">
        <v>1.3</v>
      </c>
      <c r="G7" s="32" t="n">
        <v>1.65</v>
      </c>
    </row>
    <row r="8" ht="20" customHeight="1">
      <c r="A8" s="30" t="inlineStr">
        <is>
          <t>CUALIDADES DEL HARDWARE / PLATAFORMA</t>
        </is>
      </c>
    </row>
    <row r="9" ht="18" customHeight="1">
      <c r="A9" s="31" t="inlineStr">
        <is>
          <t>Apremios de funcionamiento Run-time (TIME)</t>
        </is>
      </c>
      <c r="B9" s="33" t="inlineStr">
        <is>
          <t>-</t>
        </is>
      </c>
      <c r="C9" s="33" t="inlineStr">
        <is>
          <t>-</t>
        </is>
      </c>
      <c r="D9" s="32" t="n">
        <v>1</v>
      </c>
      <c r="E9" s="32" t="n">
        <v>1.11</v>
      </c>
      <c r="F9" s="32" t="n">
        <v>1.3</v>
      </c>
      <c r="G9" s="32" t="n">
        <v>1.66</v>
      </c>
    </row>
    <row r="10" ht="18" customHeight="1">
      <c r="A10" s="31" t="inlineStr">
        <is>
          <t>Apremios de la memoria (STOR)</t>
        </is>
      </c>
      <c r="B10" s="33" t="inlineStr">
        <is>
          <t>-</t>
        </is>
      </c>
      <c r="C10" s="33" t="inlineStr">
        <is>
          <t>-</t>
        </is>
      </c>
      <c r="D10" s="32" t="n">
        <v>1</v>
      </c>
      <c r="E10" s="32" t="n">
        <v>1.06</v>
      </c>
      <c r="F10" s="32" t="n">
        <v>1.21</v>
      </c>
      <c r="G10" s="32" t="n">
        <v>1.56</v>
      </c>
    </row>
    <row r="11" ht="18" customHeight="1">
      <c r="A11" s="31" t="inlineStr">
        <is>
          <t>Volatilidad del ambiente virtual de la máquina (VIRT)</t>
        </is>
      </c>
      <c r="B11" s="33" t="inlineStr">
        <is>
          <t>-</t>
        </is>
      </c>
      <c r="C11" s="32" t="n">
        <v>0.87</v>
      </c>
      <c r="D11" s="32" t="n">
        <v>1</v>
      </c>
      <c r="E11" s="32" t="n">
        <v>1.15</v>
      </c>
      <c r="F11" s="32" t="n">
        <v>1.3</v>
      </c>
      <c r="G11" s="33" t="inlineStr">
        <is>
          <t>-</t>
        </is>
      </c>
    </row>
    <row r="12" ht="18" customHeight="1">
      <c r="A12" s="31" t="inlineStr">
        <is>
          <t>Tiempo de turnabout requerido (TURN)</t>
        </is>
      </c>
      <c r="B12" s="33" t="inlineStr">
        <is>
          <t>-</t>
        </is>
      </c>
      <c r="C12" s="32" t="n">
        <v>0.87</v>
      </c>
      <c r="D12" s="32" t="n">
        <v>1</v>
      </c>
      <c r="E12" s="32" t="n">
        <v>1.11</v>
      </c>
      <c r="F12" s="32" t="n">
        <v>1.15</v>
      </c>
      <c r="G12" s="33" t="inlineStr">
        <is>
          <t>-</t>
        </is>
      </c>
    </row>
    <row r="13" ht="20" customHeight="1">
      <c r="A13" s="30" t="inlineStr">
        <is>
          <t>CUALIDADES DEL PERSONAL</t>
        </is>
      </c>
    </row>
    <row r="14" ht="18" customHeight="1">
      <c r="A14" s="31" t="inlineStr">
        <is>
          <t>Capacidad del analista (ACAP)</t>
        </is>
      </c>
      <c r="B14" s="32" t="n">
        <v>1.46</v>
      </c>
      <c r="C14" s="32" t="n">
        <v>1.19</v>
      </c>
      <c r="D14" s="32" t="n">
        <v>1</v>
      </c>
      <c r="E14" s="32" t="n">
        <v>0.86</v>
      </c>
      <c r="F14" s="32" t="n">
        <v>0.71</v>
      </c>
      <c r="G14" s="33" t="inlineStr">
        <is>
          <t>-</t>
        </is>
      </c>
    </row>
    <row r="15" ht="18" customHeight="1">
      <c r="A15" s="31" t="inlineStr">
        <is>
          <t>Experiencia de los usos / aplicaciones (AEXP)</t>
        </is>
      </c>
      <c r="B15" s="32" t="n">
        <v>1.29</v>
      </c>
      <c r="C15" s="32" t="n">
        <v>1.13</v>
      </c>
      <c r="D15" s="32" t="n">
        <v>1</v>
      </c>
      <c r="E15" s="32" t="n">
        <v>0.91</v>
      </c>
      <c r="F15" s="32" t="n">
        <v>0.82</v>
      </c>
      <c r="G15" s="33" t="inlineStr">
        <is>
          <t>-</t>
        </is>
      </c>
    </row>
    <row r="16" ht="18" customHeight="1">
      <c r="A16" s="31" t="inlineStr">
        <is>
          <t>Capacidad de la Software Engineer (PCAP)</t>
        </is>
      </c>
      <c r="B16" s="32" t="n">
        <v>1.42</v>
      </c>
      <c r="C16" s="32" t="n">
        <v>1.17</v>
      </c>
      <c r="D16" s="32" t="n">
        <v>1</v>
      </c>
      <c r="E16" s="32" t="n">
        <v>0.86</v>
      </c>
      <c r="F16" s="32" t="n">
        <v>0.7</v>
      </c>
      <c r="G16" s="33" t="inlineStr">
        <is>
          <t>-</t>
        </is>
      </c>
    </row>
    <row r="17" ht="18" customHeight="1">
      <c r="A17" s="31" t="inlineStr">
        <is>
          <t>Experiencia virtual de la máquina (VEXP)</t>
        </is>
      </c>
      <c r="B17" s="32" t="n">
        <v>1.21</v>
      </c>
      <c r="C17" s="32" t="n">
        <v>1.1</v>
      </c>
      <c r="D17" s="32" t="n">
        <v>1</v>
      </c>
      <c r="E17" s="32" t="n">
        <v>0.9</v>
      </c>
      <c r="F17" s="33" t="inlineStr">
        <is>
          <t>-</t>
        </is>
      </c>
      <c r="G17" s="33" t="inlineStr">
        <is>
          <t>-</t>
        </is>
      </c>
    </row>
    <row r="18" ht="18" customHeight="1">
      <c r="A18" s="31" t="inlineStr">
        <is>
          <t>Experiencia del lenguaje de programación (LEXP)</t>
        </is>
      </c>
      <c r="B18" s="32" t="n">
        <v>1.14</v>
      </c>
      <c r="C18" s="32" t="n">
        <v>1.07</v>
      </c>
      <c r="D18" s="32" t="n">
        <v>1</v>
      </c>
      <c r="E18" s="32" t="n">
        <v>0.95</v>
      </c>
      <c r="F18" s="33" t="inlineStr">
        <is>
          <t>-</t>
        </is>
      </c>
      <c r="G18" s="33" t="inlineStr">
        <is>
          <t>-</t>
        </is>
      </c>
    </row>
    <row r="19" ht="20" customHeight="1">
      <c r="A19" s="30" t="inlineStr">
        <is>
          <t>CUALIDADES DEL PROYECTO</t>
        </is>
      </c>
    </row>
    <row r="20" ht="18" customHeight="1">
      <c r="A20" s="31" t="inlineStr">
        <is>
          <t>Uso de las herramientas del software (TOOL)</t>
        </is>
      </c>
      <c r="B20" s="32" t="n">
        <v>1.24</v>
      </c>
      <c r="C20" s="32" t="n">
        <v>1.1</v>
      </c>
      <c r="D20" s="32" t="n">
        <v>1</v>
      </c>
      <c r="E20" s="32" t="n">
        <v>0.91</v>
      </c>
      <c r="F20" s="32" t="n">
        <v>0.82</v>
      </c>
      <c r="G20" s="33" t="inlineStr">
        <is>
          <t>-</t>
        </is>
      </c>
    </row>
    <row r="21" ht="18" customHeight="1">
      <c r="A21" s="31" t="inlineStr">
        <is>
          <t>Uso de los métodos de la tecnología de dotación lógica (MODP)</t>
        </is>
      </c>
      <c r="B21" s="32" t="n">
        <v>1.24</v>
      </c>
      <c r="C21" s="32" t="n">
        <v>1.1</v>
      </c>
      <c r="D21" s="32" t="n">
        <v>1</v>
      </c>
      <c r="E21" s="32" t="n">
        <v>0.91</v>
      </c>
      <c r="F21" s="32" t="n">
        <v>0.83</v>
      </c>
      <c r="G21" s="33" t="inlineStr">
        <is>
          <t>-</t>
        </is>
      </c>
    </row>
    <row r="22" ht="18" customHeight="1">
      <c r="A22" s="31" t="inlineStr">
        <is>
          <t>Horario requerido del desarrollo / restricciones (SCED)</t>
        </is>
      </c>
      <c r="B22" s="32" t="n">
        <v>1.23</v>
      </c>
      <c r="C22" s="32" t="n">
        <v>1.08</v>
      </c>
      <c r="D22" s="32" t="n">
        <v>1</v>
      </c>
      <c r="E22" s="32" t="n">
        <v>1.04</v>
      </c>
      <c r="F22" s="32" t="n">
        <v>1.1</v>
      </c>
      <c r="G22" s="33" t="inlineStr">
        <is>
          <t>-</t>
        </is>
      </c>
    </row>
  </sheetData>
  <mergeCells count="5">
    <mergeCell ref="A13:G13"/>
    <mergeCell ref="A1:G1"/>
    <mergeCell ref="A8:G8"/>
    <mergeCell ref="A4:G4"/>
    <mergeCell ref="A19:G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19" customWidth="1" min="3" max="3"/>
    <col width="23" customWidth="1" min="4" max="4"/>
    <col width="21" customWidth="1" min="5" max="5"/>
  </cols>
  <sheetData>
    <row r="1" ht="30" customHeight="1">
      <c r="A1" s="1" t="inlineStr">
        <is>
          <t>COEFICIENTES MODELO COCOMO INTERMEDIO Y TIEMPO (BOEHM)</t>
        </is>
      </c>
    </row>
    <row r="2"/>
    <row r="3">
      <c r="A3" s="3" t="inlineStr">
        <is>
          <t>Ecuación de Esfuerzo Intermedio: PM = A * EAF * (KLOC)^B</t>
        </is>
      </c>
    </row>
    <row r="4">
      <c r="A4" s="3" t="inlineStr">
        <is>
          <t>Ecuación de Tiempo de Desarrollo: TDEV = C * (PM_ajustado)^D</t>
        </is>
      </c>
    </row>
    <row r="5" ht="24" customHeight="1">
      <c r="A5" s="34" t="inlineStr">
        <is>
          <t>Proyecto del Software</t>
        </is>
      </c>
      <c r="B5" s="34" t="inlineStr">
        <is>
          <t>Coeficiente a (PM)</t>
        </is>
      </c>
      <c r="C5" s="34" t="inlineStr">
        <is>
          <t>Exponente b (PM)</t>
        </is>
      </c>
      <c r="D5" s="34" t="inlineStr">
        <is>
          <t>Coeficiente c (TDEV)</t>
        </is>
      </c>
      <c r="E5" s="34" t="inlineStr">
        <is>
          <t>Exponente d (TDEV)</t>
        </is>
      </c>
    </row>
    <row r="6" ht="20" customHeight="1">
      <c r="A6" s="5" t="inlineStr">
        <is>
          <t>Orgánico</t>
        </is>
      </c>
      <c r="B6" s="35" t="n">
        <v>3.2</v>
      </c>
      <c r="C6" s="35" t="n">
        <v>1.05</v>
      </c>
      <c r="D6" s="35" t="n">
        <v>2.5</v>
      </c>
      <c r="E6" s="35" t="n">
        <v>0.38</v>
      </c>
    </row>
    <row r="7" ht="20" customHeight="1">
      <c r="A7" s="12" t="inlineStr">
        <is>
          <t>Semiacoplado</t>
        </is>
      </c>
      <c r="B7" s="36" t="n">
        <v>3</v>
      </c>
      <c r="C7" s="36" t="n">
        <v>1.12</v>
      </c>
      <c r="D7" s="36" t="n">
        <v>2.5</v>
      </c>
      <c r="E7" s="36" t="n">
        <v>0.35</v>
      </c>
    </row>
    <row r="8" ht="20" customHeight="1">
      <c r="A8" s="5" t="inlineStr">
        <is>
          <t>Embebido / Empotrado</t>
        </is>
      </c>
      <c r="B8" s="35" t="n">
        <v>2.8</v>
      </c>
      <c r="C8" s="35" t="n">
        <v>1.2</v>
      </c>
      <c r="D8" s="35" t="n">
        <v>2.5</v>
      </c>
      <c r="E8" s="35" t="n">
        <v>0.32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2026-10-01T19:36:13Z</dcterms:created>
  <dcterms:modified xmlns:dcterms="http://purl.org/dc/terms/" xmlns:xsi="http://www.w3.org/2001/XMLSchema-instance" xsi:type="dcterms:W3CDTF">2026-10-01T19:36:13Z</dcterms:modified>
</cp:coreProperties>
</file>