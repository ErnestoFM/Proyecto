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10" tabRatio="500" firstSheet="0" activeTab="0" autoFilterDateGrouping="1"/>
  </bookViews>
  <sheets>
    <sheet xmlns:r="http://schemas.openxmlformats.org/officeDocument/2006/relationships" name="Project Budget Proposal" sheetId="1" state="visible" r:id="rId1"/>
    <sheet xmlns:r="http://schemas.openxmlformats.org/officeDocument/2006/relationships" name="- Disclaimer -" sheetId="2" state="visible" r:id="rId2"/>
  </sheets>
  <definedNames>
    <definedName name="_xlnm.Print_Area" localSheetId="0">'Project Budget Proposal'!$C$2:$R$26</definedName>
  </definedNames>
  <calcPr calcId="162913" fullCalcOnLoad="1" concurrentCalc="0"/>
</workbook>
</file>

<file path=xl/styles.xml><?xml version="1.0" encoding="utf-8"?>
<styleSheet xmlns="http://schemas.openxmlformats.org/spreadsheetml/2006/main">
  <numFmts count="5">
    <numFmt numFmtId="164" formatCode="0.0"/>
    <numFmt numFmtId="165" formatCode="&quot;$&quot;#,##0.00_);\(&quot;$&quot;#,##0.00\)"/>
    <numFmt numFmtId="166" formatCode="_(&quot;$&quot;* #,##0.00_);_(&quot;$&quot;* \(#,##0.00\);_(&quot;$&quot;* &quot;-&quot;??_);_(@_)"/>
    <numFmt numFmtId="167" formatCode="mm/dd/yy"/>
    <numFmt numFmtId="168" formatCode="$#,##0.00"/>
  </numFmts>
  <fonts count="17">
    <font>
      <name val="Calibri"/>
      <family val="2"/>
      <color theme="1"/>
      <sz val="12"/>
      <scheme val="minor"/>
    </font>
    <font>
      <name val="Calibri"/>
      <family val="2"/>
      <color theme="1"/>
      <sz val="12"/>
      <scheme val="minor"/>
    </font>
    <font>
      <name val="Calibri"/>
      <family val="2"/>
      <color theme="11"/>
      <sz val="12"/>
      <u val="single"/>
      <scheme val="minor"/>
    </font>
    <font>
      <name val="Century Gothic"/>
      <family val="1"/>
      <b val="1"/>
      <color theme="0"/>
      <sz val="10"/>
    </font>
    <font>
      <name val="Century Gothic"/>
      <family val="1"/>
      <color theme="0"/>
      <sz val="10"/>
    </font>
    <font>
      <name val="Century Gothic"/>
      <family val="1"/>
      <sz val="10"/>
    </font>
    <font>
      <name val="Century Gothic"/>
      <family val="1"/>
      <color theme="1"/>
      <sz val="10"/>
    </font>
    <font>
      <name val="Century Gothic"/>
      <family val="1"/>
      <b val="1"/>
      <sz val="10"/>
    </font>
    <font>
      <name val="Century Gothic"/>
      <family val="1"/>
      <b val="1"/>
      <color theme="1"/>
      <sz val="10"/>
    </font>
    <font>
      <name val="Century Gothic"/>
      <family val="1"/>
      <b val="1"/>
      <i val="1"/>
      <color theme="1"/>
      <sz val="10"/>
    </font>
    <font>
      <name val="Calibri"/>
      <family val="2"/>
      <color theme="1"/>
      <sz val="11"/>
      <scheme val="minor"/>
    </font>
    <font>
      <name val="Arial"/>
      <family val="2"/>
      <color theme="1"/>
      <sz val="12"/>
    </font>
    <font>
      <name val="Calibri"/>
      <family val="2"/>
      <sz val="8"/>
      <scheme val="minor"/>
    </font>
    <font>
      <name val="Century Gothic"/>
      <family val="1"/>
      <b val="1"/>
      <color theme="0"/>
      <sz val="11"/>
    </font>
    <font>
      <name val="Century Gothic"/>
      <family val="1"/>
      <b val="1"/>
      <color theme="1" tint="0.3499862666707358"/>
      <sz val="22"/>
    </font>
    <font>
      <name val="Century Gothic"/>
      <family val="1"/>
      <i val="1"/>
      <color theme="1"/>
      <sz val="10"/>
    </font>
    <font>
      <name val="Arial"/>
      <b val="1"/>
      <color rgb="00FFFFFF"/>
      <sz val="11"/>
    </font>
  </fonts>
  <fills count="11">
    <fill>
      <patternFill/>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theme="3" tint="0.7999816888943144"/>
        <bgColor indexed="64"/>
      </patternFill>
    </fill>
    <fill>
      <patternFill patternType="solid">
        <fgColor rgb="FFEAEEF3"/>
        <bgColor indexed="64"/>
      </patternFill>
    </fill>
    <fill>
      <patternFill patternType="solid">
        <fgColor rgb="FFF7F9FB"/>
        <bgColor indexed="64"/>
      </patternFill>
    </fill>
    <fill>
      <patternFill patternType="solid">
        <fgColor rgb="001B365D"/>
        <bgColor rgb="001B365D"/>
      </patternFill>
    </fill>
  </fills>
  <borders count="39">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ck">
        <color theme="0" tint="-0.3499862666707358"/>
      </left>
      <right/>
      <top/>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bottom style="thin">
        <color theme="0" tint="-0.249977111117893"/>
      </bottom>
      <diagonal/>
    </border>
    <border>
      <left style="thin">
        <color theme="0" tint="-0.249977111117893"/>
      </left>
      <right style="double">
        <color theme="0" tint="-0.249977111117893"/>
      </right>
      <top/>
      <bottom style="thin">
        <color theme="0" tint="-0.249977111117893"/>
      </bottom>
      <diagonal/>
    </border>
    <border>
      <left/>
      <right style="medium">
        <color theme="0" tint="-0.249977111117893"/>
      </right>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thin">
        <color theme="0" tint="-0.249977111117893"/>
      </left>
      <right style="dashed">
        <color theme="0" tint="-0.249977111117893"/>
      </right>
      <top style="thin">
        <color theme="0" tint="-0.249977111117893"/>
      </top>
      <bottom style="thin">
        <color theme="0" tint="-0.249977111117893"/>
      </bottom>
      <diagonal/>
    </border>
    <border>
      <left style="medium">
        <color theme="0" tint="-0.249977111117893"/>
      </left>
      <right style="dashed">
        <color theme="0" tint="-0.249977111117893"/>
      </right>
      <top style="thin">
        <color theme="0" tint="-0.249977111117893"/>
      </top>
      <bottom style="thin">
        <color theme="0" tint="-0.249977111117893"/>
      </bottom>
      <diagonal/>
    </border>
    <border>
      <left style="medium">
        <color theme="0" tint="-0.249977111117893"/>
      </left>
      <right style="thick">
        <color theme="0" tint="-0.249977111117893"/>
      </right>
      <top style="thin">
        <color theme="0" tint="-0.249977111117893"/>
      </top>
      <bottom style="thin">
        <color theme="0" tint="-0.249977111117893"/>
      </bottom>
      <diagonal/>
    </border>
    <border>
      <left style="medium">
        <color theme="0" tint="-0.249977111117893"/>
      </left>
      <right style="thick">
        <color theme="0" tint="-0.249977111117893"/>
      </right>
      <top/>
      <bottom style="thin">
        <color theme="0" tint="-0.249977111117893"/>
      </bottom>
      <diagonal/>
    </border>
    <border>
      <left style="thin">
        <color theme="0" tint="-0.249977111117893"/>
      </left>
      <right style="medium">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dashed">
        <color theme="0" tint="-0.249977111117893"/>
      </right>
      <top style="thin">
        <color theme="0" tint="-0.249977111117893"/>
      </top>
      <bottom style="double">
        <color theme="0" tint="-0.249977111117893"/>
      </bottom>
      <diagonal/>
    </border>
    <border>
      <left/>
      <right style="medium">
        <color theme="0" tint="-0.249977111117893"/>
      </right>
      <top style="thin">
        <color theme="0" tint="-0.249977111117893"/>
      </top>
      <bottom style="double">
        <color theme="0" tint="-0.249977111117893"/>
      </bottom>
      <diagonal/>
    </border>
    <border>
      <left style="medium">
        <color theme="0" tint="-0.249977111117893"/>
      </left>
      <right style="dashed">
        <color theme="0" tint="-0.249977111117893"/>
      </right>
      <top style="thin">
        <color theme="0" tint="-0.249977111117893"/>
      </top>
      <bottom style="double">
        <color theme="0" tint="-0.249977111117893"/>
      </bottom>
      <diagonal/>
    </border>
    <border>
      <left/>
      <right style="thin">
        <color theme="0" tint="-0.249977111117893"/>
      </right>
      <top style="thin">
        <color theme="0" tint="-0.249977111117893"/>
      </top>
      <bottom style="double">
        <color theme="0" tint="-0.249977111117893"/>
      </bottom>
      <diagonal/>
    </border>
    <border>
      <left style="medium">
        <color theme="0" tint="-0.249977111117893"/>
      </left>
      <right style="thick">
        <color theme="0" tint="-0.249977111117893"/>
      </right>
      <top style="thin">
        <color theme="0" tint="-0.249977111117893"/>
      </top>
      <bottom style="double">
        <color theme="0" tint="-0.249977111117893"/>
      </bottom>
      <diagonal/>
    </border>
    <border>
      <left style="thin">
        <color theme="0" tint="-0.249977111117893"/>
      </left>
      <right style="double">
        <color theme="0" tint="-0.249977111117893"/>
      </right>
      <top style="thin">
        <color theme="0" tint="-0.249977111117893"/>
      </top>
      <bottom style="double">
        <color theme="0" tint="-0.249977111117893"/>
      </bottom>
      <diagonal/>
    </border>
    <border>
      <left style="thin">
        <color theme="0" tint="-0.249977111117893"/>
      </left>
      <right style="medium">
        <color theme="0" tint="-0.249977111117893"/>
      </right>
      <top style="double">
        <color theme="0" tint="-0.249977111117893"/>
      </top>
      <bottom style="medium">
        <color theme="0" tint="-0.249977111117893"/>
      </bottom>
      <diagonal/>
    </border>
    <border>
      <left style="thin">
        <color theme="0" tint="-0.249977111117893"/>
      </left>
      <right style="dashed">
        <color theme="0" tint="-0.249977111117893"/>
      </right>
      <top style="double">
        <color theme="0" tint="-0.249977111117893"/>
      </top>
      <bottom style="medium">
        <color theme="0" tint="-0.249977111117893"/>
      </bottom>
      <diagonal/>
    </border>
    <border>
      <left/>
      <right style="medium">
        <color theme="0" tint="-0.249977111117893"/>
      </right>
      <top style="double">
        <color theme="0" tint="-0.249977111117893"/>
      </top>
      <bottom style="medium">
        <color theme="0" tint="-0.249977111117893"/>
      </bottom>
      <diagonal/>
    </border>
    <border>
      <left style="medium">
        <color theme="0" tint="-0.249977111117893"/>
      </left>
      <right style="dashed">
        <color theme="0" tint="-0.249977111117893"/>
      </right>
      <top style="double">
        <color theme="0" tint="-0.249977111117893"/>
      </top>
      <bottom style="medium">
        <color theme="0" tint="-0.249977111117893"/>
      </bottom>
      <diagonal/>
    </border>
    <border>
      <left/>
      <right style="thin">
        <color theme="0" tint="-0.249977111117893"/>
      </right>
      <top style="double">
        <color theme="0" tint="-0.249977111117893"/>
      </top>
      <bottom style="medium">
        <color theme="0" tint="-0.249977111117893"/>
      </bottom>
      <diagonal/>
    </border>
    <border>
      <left style="thin">
        <color theme="0" tint="-0.249977111117893"/>
      </left>
      <right style="thin">
        <color theme="0" tint="-0.249977111117893"/>
      </right>
      <top style="double">
        <color theme="0" tint="-0.249977111117893"/>
      </top>
      <bottom style="medium">
        <color theme="0" tint="-0.249977111117893"/>
      </bottom>
      <diagonal/>
    </border>
    <border>
      <left style="medium">
        <color theme="0" tint="-0.249977111117893"/>
      </left>
      <right style="thick">
        <color theme="0" tint="-0.249977111117893"/>
      </right>
      <top style="double">
        <color theme="0" tint="-0.249977111117893"/>
      </top>
      <bottom style="medium">
        <color theme="0" tint="-0.249977111117893"/>
      </bottom>
      <diagonal/>
    </border>
    <border>
      <left style="thin">
        <color theme="0" tint="-0.249977111117893"/>
      </left>
      <right style="double">
        <color theme="0" tint="-0.249977111117893"/>
      </right>
      <top style="double">
        <color theme="0" tint="-0.249977111117893"/>
      </top>
      <bottom style="medium">
        <color theme="0" tint="-0.249977111117893"/>
      </bottom>
      <diagonal/>
    </border>
    <border>
      <left style="thin">
        <color theme="0" tint="-0.249977111117893"/>
      </left>
      <right/>
      <top style="thick">
        <color theme="0" tint="-0.249977111117893"/>
      </top>
      <bottom style="thin">
        <color theme="0" tint="-0.249977111117893"/>
      </bottom>
      <diagonal/>
    </border>
    <border>
      <left/>
      <right style="medium">
        <color theme="0" tint="-0.249977111117893"/>
      </right>
      <top style="thick">
        <color theme="0" tint="-0.249977111117893"/>
      </top>
      <bottom style="thin">
        <color theme="0" tint="-0.249977111117893"/>
      </bottom>
      <diagonal/>
    </border>
    <border>
      <left/>
      <right/>
      <top style="thick">
        <color theme="0" tint="-0.249977111117893"/>
      </top>
      <bottom style="thin">
        <color theme="0" tint="-0.249977111117893"/>
      </bottom>
      <diagonal/>
    </border>
    <border>
      <left style="medium">
        <color theme="0" tint="-0.249977111117893"/>
      </left>
      <right style="thick">
        <color theme="0" tint="-0.249977111117893"/>
      </right>
      <top style="thick">
        <color theme="0" tint="-0.249977111117893"/>
      </top>
      <bottom style="thin">
        <color theme="0" tint="-0.249977111117893"/>
      </bottom>
      <diagonal/>
    </border>
    <border>
      <left style="thin">
        <color theme="0" tint="-0.249977111117893"/>
      </left>
      <right style="medium">
        <color theme="0" tint="-0.249977111117893"/>
      </right>
      <top style="thick">
        <color theme="0" tint="-0.249977111117893"/>
      </top>
      <bottom style="thin">
        <color theme="0" tint="-0.249977111117893"/>
      </bottom>
      <diagonal/>
    </border>
    <border>
      <left/>
      <right/>
      <top style="thick">
        <color theme="0" tint="-0.249977111117893"/>
      </top>
      <bottom/>
      <diagonal/>
    </border>
    <border>
      <left/>
      <right style="medium">
        <color theme="0" tint="-0.249977111117893"/>
      </right>
      <top style="thick">
        <color theme="0" tint="-0.249977111117893"/>
      </top>
      <bottom/>
      <diagonal/>
    </border>
  </borders>
  <cellStyleXfs count="4">
    <xf numFmtId="0" fontId="1" fillId="0" borderId="0"/>
    <xf numFmtId="166" fontId="1" fillId="0" borderId="0"/>
    <xf numFmtId="0" fontId="2" fillId="0" borderId="0"/>
    <xf numFmtId="0" fontId="10" fillId="0" borderId="0"/>
  </cellStyleXfs>
  <cellXfs count="140">
    <xf numFmtId="0" fontId="0" fillId="0" borderId="0" pivotButton="0" quotePrefix="0" xfId="0"/>
    <xf numFmtId="164" fontId="5" fillId="3" borderId="0" applyAlignment="1" applyProtection="1" pivotButton="0" quotePrefix="0" xfId="0">
      <alignment wrapText="1"/>
      <protection locked="0" hidden="0"/>
    </xf>
    <xf numFmtId="165" fontId="5" fillId="3" borderId="0" applyAlignment="1" applyProtection="1" pivotButton="0" quotePrefix="0" xfId="1">
      <alignment wrapText="1"/>
      <protection locked="0" hidden="0"/>
    </xf>
    <xf numFmtId="43" fontId="7" fillId="3" borderId="0" applyAlignment="1" applyProtection="1" pivotButton="0" quotePrefix="0" xfId="0">
      <alignment horizontal="left" vertical="top" wrapText="1"/>
      <protection locked="0" hidden="0"/>
    </xf>
    <xf numFmtId="0" fontId="6" fillId="3" borderId="0" applyAlignment="1" pivotButton="0" quotePrefix="0" xfId="0">
      <alignment wrapText="1"/>
    </xf>
    <xf numFmtId="0" fontId="6" fillId="0" borderId="0" applyAlignment="1" pivotButton="0" quotePrefix="0" xfId="0">
      <alignment wrapText="1"/>
    </xf>
    <xf numFmtId="0" fontId="4" fillId="3" borderId="0" applyAlignment="1" pivotButton="0" quotePrefix="0" xfId="0">
      <alignment horizontal="center" wrapText="1"/>
    </xf>
    <xf numFmtId="43" fontId="5" fillId="3" borderId="0" applyAlignment="1" pivotButton="0" quotePrefix="0" xfId="1">
      <alignment wrapText="1"/>
    </xf>
    <xf numFmtId="0" fontId="3" fillId="2" borderId="1" applyAlignment="1" pivotButton="0" quotePrefix="0" xfId="0">
      <alignment horizontal="left" vertical="center" wrapText="1" indent="1"/>
    </xf>
    <xf numFmtId="0" fontId="6" fillId="3" borderId="0" applyAlignment="1" pivotButton="0" quotePrefix="0" xfId="0">
      <alignment horizontal="left" vertical="center" wrapText="1" indent="1"/>
    </xf>
    <xf numFmtId="0" fontId="6" fillId="0" borderId="0" applyAlignment="1" pivotButton="0" quotePrefix="0" xfId="0">
      <alignment horizontal="left" vertical="center" wrapText="1" indent="1"/>
    </xf>
    <xf numFmtId="0" fontId="6" fillId="3" borderId="0" applyAlignment="1" pivotButton="0" quotePrefix="0" xfId="0">
      <alignment horizontal="left" vertical="center" wrapText="1" indent="1"/>
    </xf>
    <xf numFmtId="0" fontId="4" fillId="3" borderId="0" applyAlignment="1" pivotButton="0" quotePrefix="0" xfId="0">
      <alignment horizontal="left" vertical="center" wrapText="1" indent="1"/>
    </xf>
    <xf numFmtId="164" fontId="5" fillId="3" borderId="0" applyAlignment="1" applyProtection="1" pivotButton="0" quotePrefix="0" xfId="0">
      <alignment horizontal="left" vertical="center" wrapText="1" indent="1"/>
      <protection locked="0" hidden="0"/>
    </xf>
    <xf numFmtId="165" fontId="5" fillId="3" borderId="0" applyAlignment="1" applyProtection="1" pivotButton="0" quotePrefix="0" xfId="1">
      <alignment horizontal="left" vertical="center" wrapText="1" indent="1"/>
      <protection locked="0" hidden="0"/>
    </xf>
    <xf numFmtId="43" fontId="5" fillId="3" borderId="0" applyAlignment="1" pivotButton="0" quotePrefix="0" xfId="1">
      <alignment horizontal="left" vertical="center" wrapText="1" indent="1"/>
    </xf>
    <xf numFmtId="43" fontId="7" fillId="3" borderId="0" applyAlignment="1" applyProtection="1" pivotButton="0" quotePrefix="0" xfId="0">
      <alignment horizontal="left" vertical="center" wrapText="1" indent="1"/>
      <protection locked="0" hidden="0"/>
    </xf>
    <xf numFmtId="0" fontId="6" fillId="0" borderId="0" applyAlignment="1" pivotButton="0" quotePrefix="0" xfId="0">
      <alignment horizontal="left" vertical="center" wrapText="1" indent="1"/>
    </xf>
    <xf numFmtId="0" fontId="8" fillId="0" borderId="1" applyAlignment="1" applyProtection="1" pivotButton="0" quotePrefix="0" xfId="0">
      <alignment horizontal="left" vertical="center" wrapText="1" indent="1"/>
      <protection locked="0" hidden="0"/>
    </xf>
    <xf numFmtId="0" fontId="9" fillId="0" borderId="1" applyAlignment="1" applyProtection="1" pivotButton="0" quotePrefix="0" xfId="0">
      <alignment horizontal="left" vertical="center" wrapText="1" indent="1"/>
      <protection locked="0" hidden="0"/>
    </xf>
    <xf numFmtId="0" fontId="3" fillId="2" borderId="2" applyAlignment="1" pivotButton="0" quotePrefix="0" xfId="0">
      <alignment horizontal="left" vertical="center" wrapText="1" indent="1"/>
    </xf>
    <xf numFmtId="0" fontId="11" fillId="0" borderId="3" applyAlignment="1" pivotButton="0" quotePrefix="0" xfId="7">
      <alignment horizontal="left" vertical="center" wrapText="1" indent="2"/>
    </xf>
    <xf numFmtId="0" fontId="10" fillId="0" borderId="0" pivotButton="0" quotePrefix="0" xfId="7"/>
    <xf numFmtId="0" fontId="14" fillId="3" borderId="0" applyAlignment="1" pivotButton="0" quotePrefix="0" xfId="0">
      <alignment vertical="center"/>
    </xf>
    <xf numFmtId="0" fontId="8" fillId="8" borderId="1" applyAlignment="1" pivotButton="0" quotePrefix="0" xfId="0">
      <alignment horizontal="left" vertical="center" wrapText="1" indent="1"/>
    </xf>
    <xf numFmtId="0" fontId="0" fillId="8" borderId="1" applyAlignment="1" pivotButton="0" quotePrefix="0" xfId="0">
      <alignment horizontal="left" vertical="center" wrapText="1" indent="1"/>
    </xf>
    <xf numFmtId="49" fontId="8" fillId="8" borderId="1" applyAlignment="1" pivotButton="0" quotePrefix="0" xfId="0">
      <alignment horizontal="left" vertical="center" wrapText="1" indent="1"/>
    </xf>
    <xf numFmtId="166" fontId="5" fillId="0" borderId="1" applyAlignment="1" applyProtection="1" pivotButton="0" quotePrefix="0" xfId="0">
      <alignment horizontal="center" vertical="center" wrapText="1"/>
      <protection locked="0" hidden="0"/>
    </xf>
    <xf numFmtId="0" fontId="6" fillId="3" borderId="0" applyAlignment="1" pivotButton="0" quotePrefix="0" xfId="0">
      <alignment horizontal="left" wrapText="1" indent="1"/>
    </xf>
    <xf numFmtId="167" fontId="0" fillId="8" borderId="1" applyAlignment="1" pivotButton="0" quotePrefix="0" xfId="0">
      <alignment horizontal="left" vertical="center" wrapText="1" indent="1"/>
    </xf>
    <xf numFmtId="167" fontId="6" fillId="3" borderId="0" applyAlignment="1" pivotButton="0" quotePrefix="0" xfId="0">
      <alignment horizontal="left" vertical="center" wrapText="1" indent="1"/>
    </xf>
    <xf numFmtId="167" fontId="4" fillId="3" borderId="0" applyAlignment="1" pivotButton="0" quotePrefix="0" xfId="0">
      <alignment horizontal="left" vertical="center" wrapText="1" indent="1"/>
    </xf>
    <xf numFmtId="167" fontId="6" fillId="0" borderId="1" applyAlignment="1" applyProtection="1" pivotButton="0" quotePrefix="0" xfId="0">
      <alignment horizontal="left" vertical="center" wrapText="1" indent="1"/>
      <protection locked="0" hidden="0"/>
    </xf>
    <xf numFmtId="167" fontId="15" fillId="0" borderId="1" applyAlignment="1" applyProtection="1" pivotButton="0" quotePrefix="0" xfId="0">
      <alignment horizontal="left" vertical="center" wrapText="1" indent="1"/>
      <protection locked="0" hidden="0"/>
    </xf>
    <xf numFmtId="49" fontId="6" fillId="0" borderId="1" applyAlignment="1" applyProtection="1" pivotButton="0" quotePrefix="0" xfId="0">
      <alignment horizontal="left" vertical="center" wrapText="1" indent="1"/>
      <protection locked="0" hidden="0"/>
    </xf>
    <xf numFmtId="0" fontId="6" fillId="0" borderId="1" applyAlignment="1" applyProtection="1" pivotButton="0" quotePrefix="0" xfId="0">
      <alignment horizontal="left" vertical="center" wrapText="1" indent="1"/>
      <protection locked="0" hidden="0"/>
    </xf>
    <xf numFmtId="49" fontId="15" fillId="0" borderId="1" applyAlignment="1" applyProtection="1" pivotButton="0" quotePrefix="0" xfId="0">
      <alignment horizontal="left" vertical="center" wrapText="1" indent="1"/>
      <protection locked="0" hidden="0"/>
    </xf>
    <xf numFmtId="0" fontId="15" fillId="0" borderId="1" applyAlignment="1" applyProtection="1" pivotButton="0" quotePrefix="0" xfId="0">
      <alignment horizontal="left" vertical="center" wrapText="1" indent="2"/>
      <protection locked="0" hidden="0"/>
    </xf>
    <xf numFmtId="0" fontId="15" fillId="0" borderId="1" applyAlignment="1" applyProtection="1" pivotButton="0" quotePrefix="0" xfId="0">
      <alignment horizontal="left" vertical="center" wrapText="1" indent="1"/>
      <protection locked="0" hidden="0"/>
    </xf>
    <xf numFmtId="0" fontId="6" fillId="3" borderId="0" applyAlignment="1" pivotButton="0" quotePrefix="0" xfId="0">
      <alignment horizontal="right" vertical="center" wrapText="1" indent="1"/>
    </xf>
    <xf numFmtId="0" fontId="3" fillId="2" borderId="6" applyAlignment="1" pivotButton="0" quotePrefix="0" xfId="0">
      <alignment horizontal="center" vertical="center" wrapText="1"/>
    </xf>
    <xf numFmtId="0" fontId="0" fillId="8" borderId="5" applyAlignment="1" pivotButton="0" quotePrefix="0" xfId="0">
      <alignment horizontal="left" vertical="center" wrapText="1" indent="1"/>
    </xf>
    <xf numFmtId="0" fontId="3" fillId="2" borderId="6" applyAlignment="1" pivotButton="0" quotePrefix="0" xfId="0">
      <alignment horizontal="left" vertical="center" wrapText="1" indent="1"/>
    </xf>
    <xf numFmtId="0" fontId="3" fillId="2" borderId="8" applyAlignment="1" pivotButton="0" quotePrefix="0" xfId="0">
      <alignment horizontal="left" vertical="center" wrapText="1" indent="1"/>
    </xf>
    <xf numFmtId="166" fontId="5" fillId="0" borderId="5" applyAlignment="1" applyProtection="1" pivotButton="0" quotePrefix="0" xfId="0">
      <alignment horizontal="center" vertical="center" wrapText="1"/>
      <protection locked="0" hidden="0"/>
    </xf>
    <xf numFmtId="0" fontId="0" fillId="8" borderId="4" applyAlignment="1" pivotButton="0" quotePrefix="0" xfId="0">
      <alignment horizontal="left" vertical="center" wrapText="1" indent="1"/>
    </xf>
    <xf numFmtId="0" fontId="3" fillId="2" borderId="10" applyAlignment="1" pivotButton="0" quotePrefix="0" xfId="0">
      <alignment horizontal="left" vertical="center" wrapText="1" indent="1"/>
    </xf>
    <xf numFmtId="0" fontId="0" fillId="8" borderId="7" applyAlignment="1" pivotButton="0" quotePrefix="0" xfId="0">
      <alignment horizontal="left" vertical="center" wrapText="1" indent="1"/>
    </xf>
    <xf numFmtId="43" fontId="5" fillId="6" borderId="7" applyAlignment="1" applyProtection="1" pivotButton="0" quotePrefix="0" xfId="1">
      <alignment horizontal="left" vertical="center" wrapText="1" indent="1"/>
      <protection locked="0" hidden="0"/>
    </xf>
    <xf numFmtId="0" fontId="3" fillId="2" borderId="9" applyAlignment="1" pivotButton="0" quotePrefix="0" xfId="0">
      <alignment horizontal="left" vertical="center" wrapText="1" indent="1"/>
    </xf>
    <xf numFmtId="0" fontId="0" fillId="8" borderId="11" applyAlignment="1" pivotButton="0" quotePrefix="0" xfId="0">
      <alignment horizontal="left" vertical="center" wrapText="1" indent="1"/>
    </xf>
    <xf numFmtId="166" fontId="5" fillId="5" borderId="11" applyAlignment="1" applyProtection="1" pivotButton="0" quotePrefix="0" xfId="1">
      <alignment vertical="center" wrapText="1"/>
      <protection locked="0" hidden="0"/>
    </xf>
    <xf numFmtId="0" fontId="3" fillId="2" borderId="7" applyAlignment="1" pivotButton="0" quotePrefix="0" xfId="0">
      <alignment horizontal="center" vertical="center" wrapText="1"/>
    </xf>
    <xf numFmtId="165" fontId="5" fillId="0" borderId="7" applyAlignment="1" applyProtection="1" pivotButton="0" quotePrefix="0" xfId="1">
      <alignment horizontal="center" vertical="center" wrapText="1"/>
      <protection locked="0" hidden="0"/>
    </xf>
    <xf numFmtId="0" fontId="3" fillId="2" borderId="12" applyAlignment="1" pivotButton="0" quotePrefix="0" xfId="0">
      <alignment horizontal="center" vertical="center" wrapText="1"/>
    </xf>
    <xf numFmtId="0" fontId="8" fillId="8" borderId="12" applyAlignment="1" pivotButton="0" quotePrefix="0" xfId="0">
      <alignment horizontal="left" vertical="center" wrapText="1" indent="1"/>
    </xf>
    <xf numFmtId="164" fontId="5" fillId="0" borderId="12" applyAlignment="1" applyProtection="1" pivotButton="0" quotePrefix="0" xfId="0">
      <alignment horizontal="center" vertical="center" wrapText="1"/>
      <protection locked="0" hidden="0"/>
    </xf>
    <xf numFmtId="165" fontId="5" fillId="0" borderId="4" applyAlignment="1" applyProtection="1" pivotButton="0" quotePrefix="0" xfId="1">
      <alignment horizontal="center" vertical="center" wrapText="1"/>
      <protection locked="0" hidden="0"/>
    </xf>
    <xf numFmtId="0" fontId="3" fillId="2" borderId="13" applyAlignment="1" pivotButton="0" quotePrefix="0" xfId="0">
      <alignment horizontal="center" vertical="center" wrapText="1"/>
    </xf>
    <xf numFmtId="0" fontId="8" fillId="8" borderId="13" applyAlignment="1" pivotButton="0" quotePrefix="0" xfId="0">
      <alignment horizontal="left" vertical="center" wrapText="1" indent="1"/>
    </xf>
    <xf numFmtId="164" fontId="5" fillId="0" borderId="13" applyAlignment="1" applyProtection="1" pivotButton="0" quotePrefix="0" xfId="0">
      <alignment horizontal="center" vertical="center" wrapText="1"/>
      <protection locked="0" hidden="0"/>
    </xf>
    <xf numFmtId="0" fontId="3" fillId="2" borderId="15" applyAlignment="1" pivotButton="0" quotePrefix="0" xfId="0">
      <alignment horizontal="left" vertical="center" wrapText="1" indent="1"/>
    </xf>
    <xf numFmtId="0" fontId="8" fillId="8" borderId="14" applyAlignment="1" pivotButton="0" quotePrefix="0" xfId="0">
      <alignment horizontal="left" vertical="center" wrapText="1" indent="1"/>
    </xf>
    <xf numFmtId="166" fontId="5" fillId="0" borderId="14" applyAlignment="1" applyProtection="1" pivotButton="0" quotePrefix="0" xfId="1">
      <alignment horizontal="center" vertical="center" wrapText="1"/>
      <protection locked="0" hidden="0"/>
    </xf>
    <xf numFmtId="49" fontId="6" fillId="0" borderId="17" applyAlignment="1" applyProtection="1" pivotButton="0" quotePrefix="0" xfId="0">
      <alignment horizontal="left" vertical="center" wrapText="1" indent="1"/>
      <protection locked="0" hidden="0"/>
    </xf>
    <xf numFmtId="0" fontId="6" fillId="0" borderId="17" applyAlignment="1" applyProtection="1" pivotButton="0" quotePrefix="0" xfId="0">
      <alignment horizontal="left" vertical="center" wrapText="1" indent="1"/>
      <protection locked="0" hidden="0"/>
    </xf>
    <xf numFmtId="167" fontId="6" fillId="0" borderId="17" applyAlignment="1" applyProtection="1" pivotButton="0" quotePrefix="0" xfId="0">
      <alignment horizontal="left" vertical="center" wrapText="1" indent="1"/>
      <protection locked="0" hidden="0"/>
    </xf>
    <xf numFmtId="164" fontId="5" fillId="0" borderId="18" applyAlignment="1" applyProtection="1" pivotButton="0" quotePrefix="0" xfId="0">
      <alignment horizontal="center" vertical="center" wrapText="1"/>
      <protection locked="0" hidden="0"/>
    </xf>
    <xf numFmtId="165" fontId="5" fillId="0" borderId="19" applyAlignment="1" applyProtection="1" pivotButton="0" quotePrefix="0" xfId="1">
      <alignment horizontal="center" vertical="center" wrapText="1"/>
      <protection locked="0" hidden="0"/>
    </xf>
    <xf numFmtId="164" fontId="5" fillId="0" borderId="20" applyAlignment="1" applyProtection="1" pivotButton="0" quotePrefix="0" xfId="0">
      <alignment horizontal="center" vertical="center" wrapText="1"/>
      <protection locked="0" hidden="0"/>
    </xf>
    <xf numFmtId="165" fontId="5" fillId="0" borderId="21" applyAlignment="1" applyProtection="1" pivotButton="0" quotePrefix="0" xfId="1">
      <alignment horizontal="center" vertical="center" wrapText="1"/>
      <protection locked="0" hidden="0"/>
    </xf>
    <xf numFmtId="166" fontId="5" fillId="0" borderId="17" applyAlignment="1" applyProtection="1" pivotButton="0" quotePrefix="0" xfId="0">
      <alignment horizontal="center" vertical="center" wrapText="1"/>
      <protection locked="0" hidden="0"/>
    </xf>
    <xf numFmtId="166" fontId="5" fillId="0" borderId="16" applyAlignment="1" applyProtection="1" pivotButton="0" quotePrefix="0" xfId="0">
      <alignment horizontal="center" vertical="center" wrapText="1"/>
      <protection locked="0" hidden="0"/>
    </xf>
    <xf numFmtId="166" fontId="5" fillId="0" borderId="22" applyAlignment="1" applyProtection="1" pivotButton="0" quotePrefix="0" xfId="1">
      <alignment horizontal="center" vertical="center" wrapText="1"/>
      <protection locked="0" hidden="0"/>
    </xf>
    <xf numFmtId="166" fontId="5" fillId="5" borderId="23" applyAlignment="1" applyProtection="1" pivotButton="0" quotePrefix="0" xfId="1">
      <alignment vertical="center" wrapText="1"/>
      <protection locked="0" hidden="0"/>
    </xf>
    <xf numFmtId="43" fontId="5" fillId="6" borderId="19" applyAlignment="1" applyProtection="1" pivotButton="0" quotePrefix="0" xfId="1">
      <alignment horizontal="left" vertical="center" wrapText="1" indent="1"/>
      <protection locked="0" hidden="0"/>
    </xf>
    <xf numFmtId="0" fontId="8" fillId="0" borderId="17" applyAlignment="1" applyProtection="1" pivotButton="0" quotePrefix="0" xfId="0">
      <alignment horizontal="left" vertical="center" wrapText="1" indent="1"/>
      <protection locked="0" hidden="0"/>
    </xf>
    <xf numFmtId="166" fontId="8" fillId="5" borderId="25" applyAlignment="1" applyProtection="1" pivotButton="0" quotePrefix="0" xfId="0">
      <alignment vertical="center" wrapText="1"/>
      <protection locked="0" hidden="0"/>
    </xf>
    <xf numFmtId="166" fontId="8" fillId="7" borderId="26" applyAlignment="1" applyProtection="1" pivotButton="0" quotePrefix="0" xfId="1">
      <alignment vertical="center" wrapText="1"/>
      <protection locked="0" hidden="0"/>
    </xf>
    <xf numFmtId="166" fontId="8" fillId="5" borderId="27" applyAlignment="1" applyProtection="1" pivotButton="0" quotePrefix="0" xfId="0">
      <alignment vertical="center" wrapText="1"/>
      <protection locked="0" hidden="0"/>
    </xf>
    <xf numFmtId="166" fontId="8" fillId="7" borderId="28" applyAlignment="1" applyProtection="1" pivotButton="0" quotePrefix="0" xfId="1">
      <alignment vertical="center" wrapText="1"/>
      <protection locked="0" hidden="0"/>
    </xf>
    <xf numFmtId="166" fontId="8" fillId="7" borderId="29" applyAlignment="1" applyProtection="1" pivotButton="0" quotePrefix="0" xfId="1">
      <alignment vertical="center" wrapText="1"/>
      <protection locked="0" hidden="0"/>
    </xf>
    <xf numFmtId="166" fontId="8" fillId="7" borderId="24" applyAlignment="1" applyProtection="1" pivotButton="0" quotePrefix="0" xfId="1">
      <alignment vertical="center" wrapText="1"/>
      <protection locked="0" hidden="0"/>
    </xf>
    <xf numFmtId="166" fontId="8" fillId="7" borderId="30" applyAlignment="1" applyProtection="1" pivotButton="0" quotePrefix="0" xfId="1">
      <alignment vertical="center" wrapText="1"/>
      <protection locked="0" hidden="0"/>
    </xf>
    <xf numFmtId="166" fontId="8" fillId="7" borderId="28" applyAlignment="1" pivotButton="0" quotePrefix="0" xfId="1">
      <alignment vertical="center" wrapText="1"/>
    </xf>
    <xf numFmtId="166" fontId="8" fillId="7" borderId="31" applyAlignment="1" applyProtection="1" pivotButton="0" quotePrefix="0" xfId="1">
      <alignment vertical="center" wrapText="1"/>
      <protection locked="0" hidden="0"/>
    </xf>
    <xf numFmtId="0" fontId="13" fillId="4" borderId="35" applyAlignment="1" pivotButton="0" quotePrefix="0" xfId="0">
      <alignment horizontal="left" vertical="center" wrapText="1" indent="1"/>
    </xf>
    <xf numFmtId="166" fontId="5" fillId="9" borderId="4" applyAlignment="1" pivotButton="0" quotePrefix="0" xfId="1">
      <alignment vertical="center" wrapText="1"/>
    </xf>
    <xf numFmtId="166" fontId="5" fillId="9" borderId="21" applyAlignment="1" pivotButton="0" quotePrefix="0" xfId="1">
      <alignment vertical="center" wrapText="1"/>
    </xf>
    <xf numFmtId="0" fontId="13" fillId="4" borderId="32" applyAlignment="1" pivotButton="0" quotePrefix="0" xfId="0">
      <alignment horizontal="left" vertical="center" wrapText="1" indent="1"/>
    </xf>
    <xf numFmtId="0" fontId="13" fillId="4" borderId="33" applyAlignment="1" pivotButton="0" quotePrefix="0" xfId="0">
      <alignment horizontal="left" vertical="center" wrapText="1" indent="1"/>
    </xf>
    <xf numFmtId="0" fontId="13" fillId="4" borderId="34" applyAlignment="1" pivotButton="0" quotePrefix="0" xfId="0">
      <alignment horizontal="left" vertical="center" wrapText="1" indent="1"/>
    </xf>
    <xf numFmtId="0" fontId="13" fillId="4" borderId="36" applyAlignment="1" pivotButton="0" quotePrefix="0" xfId="0">
      <alignment horizontal="left" vertical="center" wrapText="1" indent="1"/>
    </xf>
    <xf numFmtId="0" fontId="0" fillId="0" borderId="33" pivotButton="0" quotePrefix="0" xfId="0"/>
    <xf numFmtId="0" fontId="0" fillId="0" borderId="34" pivotButton="0" quotePrefix="0" xfId="0"/>
    <xf numFmtId="167" fontId="0" fillId="8" borderId="1" applyAlignment="1" pivotButton="0" quotePrefix="0" xfId="0">
      <alignment horizontal="left" vertical="center" wrapText="1" indent="1"/>
    </xf>
    <xf numFmtId="167" fontId="6" fillId="0" borderId="1" applyAlignment="1" applyProtection="1" pivotButton="0" quotePrefix="0" xfId="0">
      <alignment horizontal="left" vertical="center" wrapText="1" indent="1"/>
      <protection locked="0" hidden="0"/>
    </xf>
    <xf numFmtId="164" fontId="5" fillId="0" borderId="12" applyAlignment="1" applyProtection="1" pivotButton="0" quotePrefix="0" xfId="0">
      <alignment horizontal="center" vertical="center" wrapText="1"/>
      <protection locked="0" hidden="0"/>
    </xf>
    <xf numFmtId="165" fontId="5" fillId="0" borderId="7" applyAlignment="1" applyProtection="1" pivotButton="0" quotePrefix="0" xfId="1">
      <alignment horizontal="center" vertical="center" wrapText="1"/>
      <protection locked="0" hidden="0"/>
    </xf>
    <xf numFmtId="164" fontId="5" fillId="0" borderId="13" applyAlignment="1" applyProtection="1" pivotButton="0" quotePrefix="0" xfId="0">
      <alignment horizontal="center" vertical="center" wrapText="1"/>
      <protection locked="0" hidden="0"/>
    </xf>
    <xf numFmtId="165" fontId="5" fillId="0" borderId="4" applyAlignment="1" applyProtection="1" pivotButton="0" quotePrefix="0" xfId="1">
      <alignment horizontal="center" vertical="center" wrapText="1"/>
      <protection locked="0" hidden="0"/>
    </xf>
    <xf numFmtId="166" fontId="5" fillId="0" borderId="1" applyAlignment="1" applyProtection="1" pivotButton="0" quotePrefix="0" xfId="0">
      <alignment horizontal="center" vertical="center" wrapText="1"/>
      <protection locked="0" hidden="0"/>
    </xf>
    <xf numFmtId="166" fontId="5" fillId="0" borderId="5" applyAlignment="1" applyProtection="1" pivotButton="0" quotePrefix="0" xfId="0">
      <alignment horizontal="center" vertical="center" wrapText="1"/>
      <protection locked="0" hidden="0"/>
    </xf>
    <xf numFmtId="166" fontId="5" fillId="0" borderId="14" applyAlignment="1" applyProtection="1" pivotButton="0" quotePrefix="0" xfId="1">
      <alignment horizontal="center" vertical="center" wrapText="1"/>
      <protection locked="0" hidden="0"/>
    </xf>
    <xf numFmtId="166" fontId="5" fillId="9" borderId="4" applyAlignment="1" pivotButton="0" quotePrefix="0" xfId="1">
      <alignment vertical="center" wrapText="1"/>
    </xf>
    <xf numFmtId="166" fontId="5" fillId="5" borderId="11" applyAlignment="1" applyProtection="1" pivotButton="0" quotePrefix="0" xfId="1">
      <alignment vertical="center" wrapText="1"/>
      <protection locked="0" hidden="0"/>
    </xf>
    <xf numFmtId="43" fontId="5" fillId="6" borderId="7" applyAlignment="1" applyProtection="1" pivotButton="0" quotePrefix="0" xfId="1">
      <alignment horizontal="left" vertical="center" wrapText="1" indent="1"/>
      <protection locked="0" hidden="0"/>
    </xf>
    <xf numFmtId="167" fontId="15" fillId="0" borderId="1" applyAlignment="1" applyProtection="1" pivotButton="0" quotePrefix="0" xfId="0">
      <alignment horizontal="left" vertical="center" wrapText="1" indent="1"/>
      <protection locked="0" hidden="0"/>
    </xf>
    <xf numFmtId="167" fontId="6" fillId="0" borderId="17" applyAlignment="1" applyProtection="1" pivotButton="0" quotePrefix="0" xfId="0">
      <alignment horizontal="left" vertical="center" wrapText="1" indent="1"/>
      <protection locked="0" hidden="0"/>
    </xf>
    <xf numFmtId="164" fontId="5" fillId="0" borderId="18" applyAlignment="1" applyProtection="1" pivotButton="0" quotePrefix="0" xfId="0">
      <alignment horizontal="center" vertical="center" wrapText="1"/>
      <protection locked="0" hidden="0"/>
    </xf>
    <xf numFmtId="165" fontId="5" fillId="0" borderId="19" applyAlignment="1" applyProtection="1" pivotButton="0" quotePrefix="0" xfId="1">
      <alignment horizontal="center" vertical="center" wrapText="1"/>
      <protection locked="0" hidden="0"/>
    </xf>
    <xf numFmtId="164" fontId="5" fillId="0" borderId="20" applyAlignment="1" applyProtection="1" pivotButton="0" quotePrefix="0" xfId="0">
      <alignment horizontal="center" vertical="center" wrapText="1"/>
      <protection locked="0" hidden="0"/>
    </xf>
    <xf numFmtId="165" fontId="5" fillId="0" borderId="21" applyAlignment="1" applyProtection="1" pivotButton="0" quotePrefix="0" xfId="1">
      <alignment horizontal="center" vertical="center" wrapText="1"/>
      <protection locked="0" hidden="0"/>
    </xf>
    <xf numFmtId="166" fontId="5" fillId="0" borderId="17" applyAlignment="1" applyProtection="1" pivotButton="0" quotePrefix="0" xfId="0">
      <alignment horizontal="center" vertical="center" wrapText="1"/>
      <protection locked="0" hidden="0"/>
    </xf>
    <xf numFmtId="166" fontId="5" fillId="0" borderId="16" applyAlignment="1" applyProtection="1" pivotButton="0" quotePrefix="0" xfId="0">
      <alignment horizontal="center" vertical="center" wrapText="1"/>
      <protection locked="0" hidden="0"/>
    </xf>
    <xf numFmtId="166" fontId="5" fillId="0" borderId="22" applyAlignment="1" applyProtection="1" pivotButton="0" quotePrefix="0" xfId="1">
      <alignment horizontal="center" vertical="center" wrapText="1"/>
      <protection locked="0" hidden="0"/>
    </xf>
    <xf numFmtId="166" fontId="5" fillId="9" borderId="21" applyAlignment="1" pivotButton="0" quotePrefix="0" xfId="1">
      <alignment vertical="center" wrapText="1"/>
    </xf>
    <xf numFmtId="166" fontId="5" fillId="5" borderId="23" applyAlignment="1" applyProtection="1" pivotButton="0" quotePrefix="0" xfId="1">
      <alignment vertical="center" wrapText="1"/>
      <protection locked="0" hidden="0"/>
    </xf>
    <xf numFmtId="43" fontId="5" fillId="6" borderId="19" applyAlignment="1" applyProtection="1" pivotButton="0" quotePrefix="0" xfId="1">
      <alignment horizontal="left" vertical="center" wrapText="1" indent="1"/>
      <protection locked="0" hidden="0"/>
    </xf>
    <xf numFmtId="167" fontId="6" fillId="3" borderId="0" applyAlignment="1" pivotButton="0" quotePrefix="0" xfId="0">
      <alignment horizontal="left" vertical="center" wrapText="1" indent="1"/>
    </xf>
    <xf numFmtId="166" fontId="8" fillId="5" borderId="25" applyAlignment="1" applyProtection="1" pivotButton="0" quotePrefix="0" xfId="0">
      <alignment vertical="center" wrapText="1"/>
      <protection locked="0" hidden="0"/>
    </xf>
    <xf numFmtId="166" fontId="8" fillId="7" borderId="26" applyAlignment="1" applyProtection="1" pivotButton="0" quotePrefix="0" xfId="1">
      <alignment vertical="center" wrapText="1"/>
      <protection locked="0" hidden="0"/>
    </xf>
    <xf numFmtId="166" fontId="8" fillId="5" borderId="27" applyAlignment="1" applyProtection="1" pivotButton="0" quotePrefix="0" xfId="0">
      <alignment vertical="center" wrapText="1"/>
      <protection locked="0" hidden="0"/>
    </xf>
    <xf numFmtId="166" fontId="8" fillId="7" borderId="28" applyAlignment="1" applyProtection="1" pivotButton="0" quotePrefix="0" xfId="1">
      <alignment vertical="center" wrapText="1"/>
      <protection locked="0" hidden="0"/>
    </xf>
    <xf numFmtId="166" fontId="8" fillId="7" borderId="29" applyAlignment="1" applyProtection="1" pivotButton="0" quotePrefix="0" xfId="1">
      <alignment vertical="center" wrapText="1"/>
      <protection locked="0" hidden="0"/>
    </xf>
    <xf numFmtId="166" fontId="8" fillId="7" borderId="24" applyAlignment="1" applyProtection="1" pivotButton="0" quotePrefix="0" xfId="1">
      <alignment vertical="center" wrapText="1"/>
      <protection locked="0" hidden="0"/>
    </xf>
    <xf numFmtId="166" fontId="8" fillId="7" borderId="30" applyAlignment="1" applyProtection="1" pivotButton="0" quotePrefix="0" xfId="1">
      <alignment vertical="center" wrapText="1"/>
      <protection locked="0" hidden="0"/>
    </xf>
    <xf numFmtId="166" fontId="8" fillId="7" borderId="28" applyAlignment="1" pivotButton="0" quotePrefix="0" xfId="1">
      <alignment vertical="center" wrapText="1"/>
    </xf>
    <xf numFmtId="166" fontId="8" fillId="7" borderId="31" applyAlignment="1" applyProtection="1" pivotButton="0" quotePrefix="0" xfId="1">
      <alignment vertical="center" wrapText="1"/>
      <protection locked="0" hidden="0"/>
    </xf>
    <xf numFmtId="167" fontId="4" fillId="3" borderId="0" applyAlignment="1" pivotButton="0" quotePrefix="0" xfId="0">
      <alignment horizontal="left" vertical="center" wrapText="1" indent="1"/>
    </xf>
    <xf numFmtId="164" fontId="5" fillId="3" borderId="0" applyAlignment="1" applyProtection="1" pivotButton="0" quotePrefix="0" xfId="0">
      <alignment horizontal="left" vertical="center" wrapText="1" indent="1"/>
      <protection locked="0" hidden="0"/>
    </xf>
    <xf numFmtId="165" fontId="5" fillId="3" borderId="0" applyAlignment="1" applyProtection="1" pivotButton="0" quotePrefix="0" xfId="1">
      <alignment horizontal="left" vertical="center" wrapText="1" indent="1"/>
      <protection locked="0" hidden="0"/>
    </xf>
    <xf numFmtId="43" fontId="5" fillId="3" borderId="0" applyAlignment="1" pivotButton="0" quotePrefix="0" xfId="1">
      <alignment horizontal="left" vertical="center" wrapText="1" indent="1"/>
    </xf>
    <xf numFmtId="43" fontId="7" fillId="3" borderId="0" applyAlignment="1" applyProtection="1" pivotButton="0" quotePrefix="0" xfId="0">
      <alignment horizontal="left" vertical="center" wrapText="1" indent="1"/>
      <protection locked="0" hidden="0"/>
    </xf>
    <xf numFmtId="164" fontId="5" fillId="3" borderId="0" applyAlignment="1" applyProtection="1" pivotButton="0" quotePrefix="0" xfId="0">
      <alignment wrapText="1"/>
      <protection locked="0" hidden="0"/>
    </xf>
    <xf numFmtId="165" fontId="5" fillId="3" borderId="0" applyAlignment="1" applyProtection="1" pivotButton="0" quotePrefix="0" xfId="1">
      <alignment wrapText="1"/>
      <protection locked="0" hidden="0"/>
    </xf>
    <xf numFmtId="43" fontId="5" fillId="3" borderId="0" applyAlignment="1" pivotButton="0" quotePrefix="0" xfId="1">
      <alignment wrapText="1"/>
    </xf>
    <xf numFmtId="43" fontId="7" fillId="3" borderId="0" applyAlignment="1" applyProtection="1" pivotButton="0" quotePrefix="0" xfId="0">
      <alignment horizontal="left" vertical="top" wrapText="1"/>
      <protection locked="0" hidden="0"/>
    </xf>
    <xf numFmtId="0" fontId="16" fillId="10" borderId="0" applyAlignment="1" pivotButton="0" quotePrefix="0" xfId="0">
      <alignment wrapText="1"/>
    </xf>
    <xf numFmtId="168" fontId="16" fillId="10" borderId="0" applyAlignment="1" pivotButton="0" quotePrefix="0" xfId="0">
      <alignment wrapText="1"/>
    </xf>
  </cellXfs>
  <cellStyles count="4">
    <cellStyle name="Normal" xfId="0" builtinId="0"/>
    <cellStyle name="Moneda" xfId="1" builtinId="4"/>
    <cellStyle name="Hipervínculo visitado" xfId="2" builtinId="9" hidden="1"/>
    <cellStyle name="Normal 2" xfId="3"/>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Medium4"/>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tabColor theme="3" tint="0.5999938962981048"/>
    <outlinePr summaryBelow="1" summaryRight="1"/>
    <pageSetUpPr fitToPage="1"/>
  </sheetPr>
  <dimension ref="A1:HS426"/>
  <sheetViews>
    <sheetView showGridLines="0" tabSelected="1" workbookViewId="0">
      <pane ySplit="3" topLeftCell="A4" activePane="bottomLeft" state="frozen"/>
      <selection pane="bottomLeft" activeCell="B2" sqref="B2"/>
    </sheetView>
  </sheetViews>
  <sheetFormatPr baseColWidth="10" defaultColWidth="11" defaultRowHeight="13.5"/>
  <cols>
    <col width="3.375" customWidth="1" style="5" min="1" max="1"/>
    <col width="7.875" customWidth="1" style="5" min="2" max="2"/>
    <col width="17.875" customWidth="1" style="5" min="3" max="4"/>
    <col width="10.625" customWidth="1" style="5" min="5" max="5"/>
    <col width="11.875" customWidth="1" style="5" min="6" max="8"/>
    <col width="8.875" customWidth="1" style="5" min="9" max="9"/>
    <col width="12.875" customWidth="1" style="5" min="10" max="10"/>
    <col width="8.875" customWidth="1" style="5" min="11" max="11"/>
    <col width="12.875" customWidth="1" style="5" min="12" max="14"/>
    <col width="15.875" customWidth="1" style="5" min="15" max="18"/>
    <col width="3.375" customWidth="1" style="5" min="19" max="19"/>
    <col width="11" customWidth="1" style="5" min="20" max="16384"/>
  </cols>
  <sheetData>
    <row r="1" ht="42" customHeight="1" thickBot="1">
      <c r="A1" s="4" t="n"/>
      <c r="B1" s="23" t="inlineStr">
        <is>
          <t>MONCHIS CAFÉ — SOFTWARE PROJECT BUDGET PROPOSAL (ALINEADO A ODS)</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4" t="n"/>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4" t="n"/>
      <c r="BO1" s="4" t="n"/>
      <c r="BP1" s="4" t="n"/>
      <c r="BQ1" s="4" t="n"/>
      <c r="BR1" s="4" t="n"/>
      <c r="BS1" s="4" t="n"/>
      <c r="BT1" s="4" t="n"/>
      <c r="BU1" s="4" t="n"/>
      <c r="BV1" s="4" t="n"/>
      <c r="BW1" s="4" t="n"/>
      <c r="BX1" s="4" t="n"/>
      <c r="BY1" s="4" t="n"/>
      <c r="BZ1" s="4" t="n"/>
      <c r="CA1" s="4" t="n"/>
      <c r="CB1" s="4" t="n"/>
      <c r="CC1" s="4" t="n"/>
      <c r="CD1" s="4" t="n"/>
      <c r="CE1" s="4" t="n"/>
      <c r="CF1" s="4" t="n"/>
      <c r="CG1" s="4" t="n"/>
      <c r="CH1" s="4" t="n"/>
      <c r="CI1" s="4" t="n"/>
      <c r="CJ1" s="4" t="n"/>
      <c r="CK1" s="4" t="n"/>
      <c r="CL1" s="4" t="n"/>
      <c r="CM1" s="4" t="n"/>
      <c r="CN1" s="4" t="n"/>
      <c r="CO1" s="4" t="n"/>
      <c r="CP1" s="4" t="n"/>
      <c r="CQ1" s="4" t="n"/>
      <c r="CR1" s="4" t="n"/>
      <c r="CS1" s="4" t="n"/>
      <c r="CT1" s="4" t="n"/>
      <c r="CU1" s="4" t="n"/>
      <c r="CV1" s="4" t="n"/>
      <c r="CW1" s="4" t="n"/>
      <c r="CX1" s="4" t="n"/>
      <c r="CY1" s="4" t="n"/>
      <c r="CZ1" s="4" t="n"/>
      <c r="DA1" s="4" t="n"/>
      <c r="DB1" s="4" t="n"/>
      <c r="DC1" s="4" t="n"/>
      <c r="DD1" s="4" t="n"/>
      <c r="DE1" s="4" t="n"/>
      <c r="DF1" s="4" t="n"/>
      <c r="DG1" s="4" t="n"/>
      <c r="DH1" s="4" t="n"/>
      <c r="DI1" s="4" t="n"/>
      <c r="DJ1" s="4" t="n"/>
      <c r="DK1" s="4" t="n"/>
      <c r="DL1" s="4" t="n"/>
      <c r="DM1" s="4" t="n"/>
      <c r="DN1" s="4" t="n"/>
      <c r="DO1" s="4" t="n"/>
      <c r="DP1" s="4" t="n"/>
      <c r="DQ1" s="4" t="n"/>
      <c r="DR1" s="4" t="n"/>
      <c r="DS1" s="4" t="n"/>
      <c r="DT1" s="4" t="n"/>
      <c r="DU1" s="4" t="n"/>
      <c r="DV1" s="4" t="n"/>
      <c r="DW1" s="4" t="n"/>
      <c r="DX1" s="4" t="n"/>
      <c r="DY1" s="4" t="n"/>
      <c r="DZ1" s="4" t="n"/>
      <c r="EA1" s="4" t="n"/>
      <c r="EB1" s="4" t="n"/>
      <c r="EC1" s="4" t="n"/>
      <c r="ED1" s="4" t="n"/>
      <c r="EE1" s="4" t="n"/>
      <c r="EF1" s="4" t="n"/>
      <c r="EG1" s="4" t="n"/>
      <c r="EH1" s="4" t="n"/>
      <c r="EI1" s="4" t="n"/>
      <c r="EJ1" s="4" t="n"/>
      <c r="EK1" s="4" t="n"/>
      <c r="EL1" s="4" t="n"/>
      <c r="EM1" s="4" t="n"/>
      <c r="EN1" s="4" t="n"/>
      <c r="EO1" s="4" t="n"/>
      <c r="EP1" s="4" t="n"/>
      <c r="EQ1" s="4" t="n"/>
      <c r="ER1" s="4" t="n"/>
      <c r="ES1" s="4" t="n"/>
      <c r="ET1" s="4" t="n"/>
      <c r="EU1" s="4" t="n"/>
      <c r="EV1" s="4" t="n"/>
      <c r="EW1" s="4" t="n"/>
      <c r="EX1" s="4" t="n"/>
      <c r="EY1" s="4" t="n"/>
      <c r="EZ1" s="4" t="n"/>
      <c r="FA1" s="4" t="n"/>
      <c r="FB1" s="4" t="n"/>
      <c r="FC1" s="4" t="n"/>
      <c r="FD1" s="4" t="n"/>
      <c r="FE1" s="4" t="n"/>
      <c r="FF1" s="4" t="n"/>
      <c r="FG1" s="4" t="n"/>
      <c r="FH1" s="4" t="n"/>
      <c r="FI1" s="4" t="n"/>
      <c r="FJ1" s="4" t="n"/>
      <c r="FK1" s="4" t="n"/>
      <c r="FL1" s="4" t="n"/>
      <c r="FM1" s="4" t="n"/>
      <c r="FN1" s="4" t="n"/>
      <c r="FO1" s="4" t="n"/>
      <c r="FP1" s="4" t="n"/>
      <c r="FQ1" s="4" t="n"/>
      <c r="FR1" s="4" t="n"/>
      <c r="FS1" s="4" t="n"/>
      <c r="FT1" s="4" t="n"/>
      <c r="FU1" s="4" t="n"/>
      <c r="FV1" s="4" t="n"/>
      <c r="FW1" s="4" t="n"/>
      <c r="FX1" s="4" t="n"/>
      <c r="FY1" s="4" t="n"/>
      <c r="FZ1" s="4" t="n"/>
      <c r="GA1" s="4" t="n"/>
      <c r="GB1" s="4" t="n"/>
      <c r="GC1" s="4" t="n"/>
      <c r="GD1" s="4" t="n"/>
      <c r="GE1" s="4" t="n"/>
      <c r="GF1" s="4" t="n"/>
      <c r="GG1" s="4" t="n"/>
      <c r="GH1" s="4" t="n"/>
      <c r="GI1" s="4" t="n"/>
      <c r="GJ1" s="4" t="n"/>
      <c r="GK1" s="4" t="n"/>
      <c r="GL1" s="4" t="n"/>
      <c r="GM1" s="4" t="n"/>
      <c r="GN1" s="4" t="n"/>
      <c r="GO1" s="4" t="n"/>
      <c r="GP1" s="4" t="n"/>
      <c r="GQ1" s="4" t="n"/>
      <c r="GR1" s="4" t="n"/>
      <c r="GS1" s="4" t="n"/>
      <c r="GT1" s="4" t="n"/>
      <c r="GU1" s="4" t="n"/>
      <c r="GV1" s="4" t="n"/>
      <c r="GW1" s="4" t="n"/>
      <c r="GX1" s="4" t="n"/>
      <c r="GY1" s="4" t="n"/>
      <c r="GZ1" s="4" t="n"/>
      <c r="HA1" s="4" t="n"/>
      <c r="HB1" s="4" t="n"/>
      <c r="HC1" s="4" t="n"/>
      <c r="HD1" s="4" t="n"/>
      <c r="HE1" s="4" t="n"/>
      <c r="HF1" s="4" t="n"/>
      <c r="HG1" s="4" t="n"/>
      <c r="HH1" s="4" t="n"/>
      <c r="HI1" s="4" t="n"/>
      <c r="HJ1" s="4" t="n"/>
      <c r="HK1" s="4" t="n"/>
      <c r="HL1" s="4" t="n"/>
      <c r="HM1" s="4" t="n"/>
      <c r="HN1" s="4" t="n"/>
      <c r="HO1" s="4" t="n"/>
      <c r="HP1" s="4" t="n"/>
      <c r="HQ1" s="4" t="n"/>
      <c r="HR1" s="4" t="n"/>
      <c r="HS1" s="4" t="n"/>
    </row>
    <row r="2" ht="35.1" customFormat="1" customHeight="1" s="17" thickTop="1">
      <c r="A2" s="11" t="n"/>
      <c r="B2" s="11" t="n"/>
      <c r="C2" s="11" t="n"/>
      <c r="D2" s="11" t="n"/>
      <c r="E2" s="11" t="n"/>
      <c r="F2" s="28" t="n"/>
      <c r="G2" s="28" t="n"/>
      <c r="H2" s="11" t="n"/>
      <c r="I2" s="92" t="inlineStr">
        <is>
          <t>LABOR</t>
        </is>
      </c>
      <c r="J2" s="93" t="n"/>
      <c r="K2" s="90" t="inlineStr">
        <is>
          <t>MATERIALS</t>
        </is>
      </c>
      <c r="L2" s="94" t="n"/>
      <c r="M2" s="94" t="n"/>
      <c r="N2" s="93" t="n"/>
      <c r="O2" s="86" t="inlineStr">
        <is>
          <t>FIXED</t>
        </is>
      </c>
      <c r="P2" s="4" t="n"/>
      <c r="Q2" s="4" t="n"/>
      <c r="R2" s="4" t="n"/>
      <c r="S2" s="11"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row>
    <row r="3" ht="35.1" customFormat="1" customHeight="1" s="17">
      <c r="A3" s="11" t="n"/>
      <c r="B3" s="8" t="inlineStr">
        <is>
          <t>WBS</t>
        </is>
      </c>
      <c r="C3" s="8" t="inlineStr">
        <is>
          <t>TASK</t>
        </is>
      </c>
      <c r="D3" s="8" t="inlineStr">
        <is>
          <t>DESCRIPTION</t>
        </is>
      </c>
      <c r="E3" s="8" t="inlineStr">
        <is>
          <t>STATUS</t>
        </is>
      </c>
      <c r="F3" s="8" t="inlineStr">
        <is>
          <t>PLANNED START DATE</t>
        </is>
      </c>
      <c r="G3" s="8" t="inlineStr">
        <is>
          <t>ACTUAL START DATE</t>
        </is>
      </c>
      <c r="H3" s="8" t="inlineStr">
        <is>
          <t>END DATE</t>
        </is>
      </c>
      <c r="I3" s="54" t="inlineStr">
        <is>
          <t>HR</t>
        </is>
      </c>
      <c r="J3" s="52" t="inlineStr">
        <is>
          <t>$/HR</t>
        </is>
      </c>
      <c r="K3" s="58" t="inlineStr">
        <is>
          <t>UNITS</t>
        </is>
      </c>
      <c r="L3" s="40" t="inlineStr">
        <is>
          <t>$/UNITS</t>
        </is>
      </c>
      <c r="M3" s="20" t="inlineStr">
        <is>
          <t>TRAVEL</t>
        </is>
      </c>
      <c r="N3" s="43" t="inlineStr">
        <is>
          <t>EQUIP / SPACE</t>
        </is>
      </c>
      <c r="O3" s="61" t="inlineStr">
        <is>
          <t>MISC.</t>
        </is>
      </c>
      <c r="P3" s="42" t="inlineStr">
        <is>
          <t>BUDGET</t>
        </is>
      </c>
      <c r="Q3" s="49" t="inlineStr">
        <is>
          <t>ACTUAL</t>
        </is>
      </c>
      <c r="R3" s="46" t="inlineStr">
        <is>
          <t>UNDER/OVER</t>
        </is>
      </c>
      <c r="S3" s="11"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row>
    <row r="4" ht="30" customFormat="1" customHeight="1" s="17">
      <c r="A4" s="11" t="n"/>
      <c r="B4" s="26" t="inlineStr">
        <is>
          <t>P1</t>
        </is>
      </c>
      <c r="C4" s="24" t="inlineStr">
        <is>
          <t>DESARROLLO DE SOFTWARE Y SPRINTS (MANO DE OBRA)</t>
        </is>
      </c>
      <c r="D4" s="25" t="n"/>
      <c r="E4" s="25" t="n"/>
      <c r="F4" s="95" t="n"/>
      <c r="G4" s="95" t="n"/>
      <c r="H4" s="25" t="n"/>
      <c r="I4" s="55" t="n"/>
      <c r="J4" s="47" t="n"/>
      <c r="K4" s="59" t="n"/>
      <c r="L4" s="45" t="n"/>
      <c r="M4" s="24" t="n"/>
      <c r="N4" s="41" t="n"/>
      <c r="O4" s="62" t="n"/>
      <c r="P4" s="45" t="n"/>
      <c r="Q4" s="50" t="n"/>
      <c r="R4" s="47"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row>
    <row r="5" ht="30" customFormat="1" customHeight="1" s="17">
      <c r="A5" s="11" t="n"/>
      <c r="B5" s="34" t="inlineStr">
        <is>
          <t>1.0</t>
        </is>
      </c>
      <c r="C5" s="35" t="inlineStr">
        <is>
          <t>Arquitectura Monorepo y Modelo BD</t>
        </is>
      </c>
      <c r="D5" s="35" t="inlineStr">
        <is>
          <t>Setup Turborepo, Docker Compose y esquema Prisma PostgreSQL</t>
        </is>
      </c>
      <c r="E5" s="35" t="inlineStr">
        <is>
          <t>Completed</t>
        </is>
      </c>
      <c r="F5" s="96" t="inlineStr">
        <is>
          <t>2026-08-31</t>
        </is>
      </c>
      <c r="G5" s="96" t="inlineStr">
        <is>
          <t>2026-08-31</t>
        </is>
      </c>
      <c r="H5" s="18" t="inlineStr">
        <is>
          <t>2026-09-14</t>
        </is>
      </c>
      <c r="I5" s="97" t="n">
        <v>160</v>
      </c>
      <c r="J5" s="98" t="n">
        <v>150</v>
      </c>
      <c r="K5" s="99" t="n"/>
      <c r="L5" s="100" t="n"/>
      <c r="M5" s="101" t="n"/>
      <c r="N5" s="102" t="n"/>
      <c r="O5" s="103" t="n"/>
      <c r="P5" s="104" t="n">
        <v>24000</v>
      </c>
      <c r="Q5" s="105">
        <f>(I5*J5)+(K5*L5)+M5+N5+O5</f>
        <v/>
      </c>
      <c r="R5" s="106">
        <f>Q5-P5</f>
        <v/>
      </c>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row>
    <row r="6" ht="30" customFormat="1" customHeight="1" s="17">
      <c r="A6" s="11" t="n"/>
      <c r="B6" s="34" t="inlineStr">
        <is>
          <t>2.0</t>
        </is>
      </c>
      <c r="C6" s="35" t="inlineStr">
        <is>
          <t>Backend Core y Seguridad Stateless</t>
        </is>
      </c>
      <c r="D6" s="35" t="inlineStr">
        <is>
          <t>JWT rotativo en cookies seguras, RBAC y Google reCAPTCHA v2/v3</t>
        </is>
      </c>
      <c r="E6" s="35" t="inlineStr">
        <is>
          <t>Completed</t>
        </is>
      </c>
      <c r="F6" s="96" t="inlineStr">
        <is>
          <t>2026-09-15</t>
        </is>
      </c>
      <c r="G6" s="96" t="inlineStr">
        <is>
          <t>2026-09-15</t>
        </is>
      </c>
      <c r="H6" s="18" t="inlineStr">
        <is>
          <t>2026-09-28</t>
        </is>
      </c>
      <c r="I6" s="97" t="n">
        <v>240</v>
      </c>
      <c r="J6" s="98" t="n">
        <v>125</v>
      </c>
      <c r="K6" s="99" t="n"/>
      <c r="L6" s="100" t="n"/>
      <c r="M6" s="101" t="n"/>
      <c r="N6" s="102" t="n"/>
      <c r="O6" s="103" t="n"/>
      <c r="P6" s="104" t="n">
        <v>30000</v>
      </c>
      <c r="Q6" s="105">
        <f>(I6*J6)+(K6*L6)+M6+N6+O6</f>
        <v/>
      </c>
      <c r="R6" s="106">
        <f>Q6-P6</f>
        <v/>
      </c>
      <c r="S6" s="11"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row>
    <row r="7" ht="30" customFormat="1" customHeight="1" s="17">
      <c r="A7" s="11" t="n"/>
      <c r="B7" s="34" t="inlineStr">
        <is>
          <t>3.0</t>
        </is>
      </c>
      <c r="C7" s="35" t="inlineStr">
        <is>
          <t>Broker RabbitMQ y Patrón Saga</t>
        </is>
      </c>
      <c r="D7" s="35" t="inlineStr">
        <is>
          <t>Topic Exchange cafeteria.events, orquestador reversas y DLQ</t>
        </is>
      </c>
      <c r="E7" s="35" t="inlineStr">
        <is>
          <t>Completed</t>
        </is>
      </c>
      <c r="F7" s="96" t="inlineStr">
        <is>
          <t>2026-09-29</t>
        </is>
      </c>
      <c r="G7" s="96" t="inlineStr">
        <is>
          <t>2026-09-29</t>
        </is>
      </c>
      <c r="H7" s="18" t="inlineStr">
        <is>
          <t>2026-10-12</t>
        </is>
      </c>
      <c r="I7" s="97" t="n">
        <v>240</v>
      </c>
      <c r="J7" s="98" t="n">
        <v>125</v>
      </c>
      <c r="K7" s="99" t="n"/>
      <c r="L7" s="100" t="n"/>
      <c r="M7" s="101" t="n"/>
      <c r="N7" s="102" t="n"/>
      <c r="O7" s="103" t="n"/>
      <c r="P7" s="104" t="n">
        <v>30000</v>
      </c>
      <c r="Q7" s="105">
        <f>(I7*J7)+(K7*L7)+M7+N7+O7</f>
        <v/>
      </c>
      <c r="R7" s="106">
        <f>Q7-P7</f>
        <v/>
      </c>
      <c r="S7" s="11"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row>
    <row r="8" ht="30" customFormat="1" customHeight="1" s="17">
      <c r="A8" s="11" t="n"/>
      <c r="B8" s="36" t="inlineStr">
        <is>
          <t>3.1</t>
        </is>
      </c>
      <c r="C8" s="37" t="inlineStr">
        <is>
          <t>Frontend Core y Prerenderizado SEO</t>
        </is>
      </c>
      <c r="D8" s="38" t="inlineStr">
        <is>
          <t>Vistas Vue 3, tokens pastel, vite-ssg y Schema.org LocalBusiness</t>
        </is>
      </c>
      <c r="E8" s="38" t="inlineStr">
        <is>
          <t>Completed</t>
        </is>
      </c>
      <c r="F8" s="107" t="inlineStr">
        <is>
          <t>2026-10-13</t>
        </is>
      </c>
      <c r="G8" s="107" t="inlineStr">
        <is>
          <t>2026-10-13</t>
        </is>
      </c>
      <c r="H8" s="19" t="inlineStr">
        <is>
          <t>2026-10-26</t>
        </is>
      </c>
      <c r="I8" s="97" t="n">
        <v>240</v>
      </c>
      <c r="J8" s="98" t="n">
        <v>125</v>
      </c>
      <c r="K8" s="99" t="n"/>
      <c r="L8" s="100" t="n"/>
      <c r="M8" s="101" t="n"/>
      <c r="N8" s="102" t="n"/>
      <c r="O8" s="103" t="n"/>
      <c r="P8" s="104" t="n">
        <v>30000</v>
      </c>
      <c r="Q8" s="105">
        <f>(I8*J8)+(K8*L8)+M8+N8+O8</f>
        <v/>
      </c>
      <c r="R8" s="106">
        <f>Q8-P8</f>
        <v/>
      </c>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row>
    <row r="9" ht="30" customFormat="1" customHeight="1" s="17">
      <c r="A9" s="11" t="n"/>
      <c r="B9" s="36" t="inlineStr">
        <is>
          <t>3.2</t>
        </is>
      </c>
      <c r="C9" s="37" t="inlineStr">
        <is>
          <t>Punto de Venta (POS) y Pagos Mixtos</t>
        </is>
      </c>
      <c r="D9" s="38" t="inlineStr">
        <is>
          <t>Interfaz táctil barra, escaneo QR, cobro efectivo/tarjeta/SPEI y vuelto</t>
        </is>
      </c>
      <c r="E9" s="38" t="inlineStr">
        <is>
          <t>In Progress</t>
        </is>
      </c>
      <c r="F9" s="107" t="inlineStr">
        <is>
          <t>2026-10-27</t>
        </is>
      </c>
      <c r="G9" s="107" t="inlineStr">
        <is>
          <t>2026-10-27</t>
        </is>
      </c>
      <c r="H9" s="19" t="inlineStr">
        <is>
          <t>2026-11-09</t>
        </is>
      </c>
      <c r="I9" s="97" t="n">
        <v>400</v>
      </c>
      <c r="J9" s="98" t="n">
        <v>125</v>
      </c>
      <c r="K9" s="99" t="n"/>
      <c r="L9" s="100" t="n"/>
      <c r="M9" s="101" t="n"/>
      <c r="N9" s="102" t="n"/>
      <c r="O9" s="103" t="n"/>
      <c r="P9" s="104" t="n">
        <v>50000</v>
      </c>
      <c r="Q9" s="105">
        <f>(I9*J9)+(K9*L9)+M9+N9+O9</f>
        <v/>
      </c>
      <c r="R9" s="106">
        <f>Q9-P9</f>
        <v/>
      </c>
      <c r="S9" s="11"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row>
    <row r="10" ht="30" customFormat="1" customHeight="1" s="17">
      <c r="A10" s="11" t="n"/>
      <c r="B10" s="36" t="inlineStr">
        <is>
          <t>3.3</t>
        </is>
      </c>
      <c r="C10" s="37" t="inlineStr">
        <is>
          <t>Trazabilidad ODS y Monchis Rewards</t>
        </is>
      </c>
      <c r="D10" s="38" t="inlineStr">
        <is>
          <t>Catálogo fincas café regional, bono termo -$5 y sellos digitales</t>
        </is>
      </c>
      <c r="E10" s="38" t="inlineStr">
        <is>
          <t>In Progress</t>
        </is>
      </c>
      <c r="F10" s="107" t="inlineStr">
        <is>
          <t>2026-11-10</t>
        </is>
      </c>
      <c r="G10" s="107" t="inlineStr">
        <is>
          <t>2026-11-10</t>
        </is>
      </c>
      <c r="H10" s="19" t="inlineStr">
        <is>
          <t>2026-11-23</t>
        </is>
      </c>
      <c r="I10" s="97" t="n">
        <v>320</v>
      </c>
      <c r="J10" s="98" t="n">
        <v>125</v>
      </c>
      <c r="K10" s="99" t="n"/>
      <c r="L10" s="100" t="n"/>
      <c r="M10" s="101" t="n"/>
      <c r="N10" s="102" t="n"/>
      <c r="O10" s="103" t="n"/>
      <c r="P10" s="104" t="n">
        <v>40000</v>
      </c>
      <c r="Q10" s="105">
        <f>(I10*J10)+(K10*L10)+M10+N10+O10</f>
        <v/>
      </c>
      <c r="R10" s="106">
        <f>Q10-P10</f>
        <v/>
      </c>
      <c r="S10" s="11"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row>
    <row r="11" ht="30" customFormat="1" customHeight="1" s="17">
      <c r="A11" s="11" t="n"/>
      <c r="B11" s="36" t="inlineStr">
        <is>
          <t>3.4</t>
        </is>
      </c>
      <c r="C11" s="37" t="inlineStr">
        <is>
          <t>Dashboard Admin y Atribución UTM</t>
        </is>
      </c>
      <c r="D11" s="38" t="inlineStr">
        <is>
          <t>Panel analítico de ventas por canal Google Maps vs Instagram y DLQ</t>
        </is>
      </c>
      <c r="E11" s="38" t="inlineStr">
        <is>
          <t>Planned</t>
        </is>
      </c>
      <c r="F11" s="107" t="inlineStr">
        <is>
          <t>2026-11-24</t>
        </is>
      </c>
      <c r="G11" s="107" t="inlineStr">
        <is>
          <t>2026-11-24</t>
        </is>
      </c>
      <c r="H11" s="19" t="inlineStr">
        <is>
          <t>2026-12-07</t>
        </is>
      </c>
      <c r="I11" s="97" t="n">
        <v>240</v>
      </c>
      <c r="J11" s="98" t="n">
        <v>125</v>
      </c>
      <c r="K11" s="99" t="n"/>
      <c r="L11" s="100" t="n"/>
      <c r="M11" s="101" t="n"/>
      <c r="N11" s="102" t="n"/>
      <c r="O11" s="103" t="n"/>
      <c r="P11" s="104" t="n">
        <v>30000</v>
      </c>
      <c r="Q11" s="105">
        <f>(I11*J11)+(K11*L11)+M11+N11+O11</f>
        <v/>
      </c>
      <c r="R11" s="106">
        <f>Q11-P11</f>
        <v/>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row>
    <row r="12" ht="30" customFormat="1" customHeight="1" s="17">
      <c r="A12" s="11" t="n"/>
      <c r="B12" s="34" t="inlineStr">
        <is>
          <t>4.0</t>
        </is>
      </c>
      <c r="C12" s="35" t="inlineStr">
        <is>
          <t>Testing Multicapa y Ciberseguridad</t>
        </is>
      </c>
      <c r="D12" s="35" t="inlineStr">
        <is>
          <t>Suites Vitest, Playwright 3 viewports, escaneo OWASP y a11y WCAG</t>
        </is>
      </c>
      <c r="E12" s="35" t="inlineStr">
        <is>
          <t>Planned</t>
        </is>
      </c>
      <c r="F12" s="96" t="inlineStr">
        <is>
          <t>2026-11-24</t>
        </is>
      </c>
      <c r="G12" s="96" t="inlineStr">
        <is>
          <t>2026-11-24</t>
        </is>
      </c>
      <c r="H12" s="18" t="inlineStr">
        <is>
          <t>2026-12-07</t>
        </is>
      </c>
      <c r="I12" s="97" t="n">
        <v>480</v>
      </c>
      <c r="J12" s="98" t="n">
        <v>112.5</v>
      </c>
      <c r="K12" s="99" t="n"/>
      <c r="L12" s="100" t="n"/>
      <c r="M12" s="101" t="n"/>
      <c r="N12" s="102" t="n"/>
      <c r="O12" s="103" t="n"/>
      <c r="P12" s="104" t="n">
        <v>54000</v>
      </c>
      <c r="Q12" s="105">
        <f>(I12*J12)+(K12*L12)+M12+N12+O12</f>
        <v/>
      </c>
      <c r="R12" s="106">
        <f>Q12-P12</f>
        <v/>
      </c>
      <c r="S12" s="11"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row>
    <row r="13" ht="30" customFormat="1" customHeight="1" s="17" thickBot="1">
      <c r="A13" s="11" t="n"/>
      <c r="B13" s="64" t="inlineStr">
        <is>
          <t>5.0</t>
        </is>
      </c>
      <c r="C13" s="65" t="inlineStr">
        <is>
          <t>Despliegue Cloud en GCP y Release</t>
        </is>
      </c>
      <c r="D13" s="65" t="inlineStr">
        <is>
          <t>Infraestructura serverless con Terraform (Cloud Run, SQL) y release</t>
        </is>
      </c>
      <c r="E13" s="65" t="inlineStr">
        <is>
          <t>Planned</t>
        </is>
      </c>
      <c r="F13" s="108" t="inlineStr">
        <is>
          <t>2026-12-08</t>
        </is>
      </c>
      <c r="G13" s="108" t="inlineStr">
        <is>
          <t>2026-12-08</t>
        </is>
      </c>
      <c r="H13" s="76" t="inlineStr">
        <is>
          <t>2026-12-21</t>
        </is>
      </c>
      <c r="I13" s="109" t="n">
        <v>400</v>
      </c>
      <c r="J13" s="110" t="n">
        <v>175</v>
      </c>
      <c r="K13" s="111" t="n"/>
      <c r="L13" s="112" t="n"/>
      <c r="M13" s="113" t="n"/>
      <c r="N13" s="114" t="n"/>
      <c r="O13" s="115" t="n"/>
      <c r="P13" s="116" t="n">
        <v>70000</v>
      </c>
      <c r="Q13" s="117">
        <f>(I13*J13)+(K13*L13)+M13+N13+O13</f>
        <v/>
      </c>
      <c r="R13" s="118">
        <f>Q13-P13</f>
        <v/>
      </c>
      <c r="S13" s="11"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row>
    <row r="14" ht="30" customFormat="1" customHeight="1" s="17" thickBot="1" thickTop="1">
      <c r="A14" s="11" t="n"/>
      <c r="B14" s="11" t="n"/>
      <c r="C14" s="11" t="n"/>
      <c r="D14" s="11" t="n"/>
      <c r="E14" s="11" t="n"/>
      <c r="F14" s="119" t="n"/>
      <c r="G14" s="119" t="n"/>
      <c r="H14" s="39" t="inlineStr">
        <is>
          <t>SUBTOTAL</t>
        </is>
      </c>
      <c r="I14" s="120" t="n"/>
      <c r="J14" s="121">
        <f>(I5*J5)+(I6*J6)+(I7*J7)+(I8*J8)+(I9*J9)+(I10*J10)+(I11*J11)+(I12*J12)+(I13*J13)</f>
        <v/>
      </c>
      <c r="K14" s="122" t="n"/>
      <c r="L14" s="123">
        <f>(K5*L5)+(K6*L6)+(K7*L7)+(K8*L8)+(K9*L9)+(K10*L10)+(K11*L11)+(K12*L12)+(K13*L13)</f>
        <v/>
      </c>
      <c r="M14" s="124">
        <f>SUM(M5:M13)</f>
        <v/>
      </c>
      <c r="N14" s="125">
        <f>SUM(N5:N13)</f>
        <v/>
      </c>
      <c r="O14" s="126">
        <f>SUM(O5:O13)</f>
        <v/>
      </c>
      <c r="P14" s="127">
        <f>SUM(P5:P13)</f>
        <v/>
      </c>
      <c r="Q14" s="128">
        <f>SUM(J14:O14)</f>
        <v/>
      </c>
      <c r="R14" s="121">
        <f>Q14-P14</f>
        <v/>
      </c>
      <c r="S14" s="11"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row>
    <row r="15" ht="11.1" customFormat="1" customHeight="1" s="17">
      <c r="A15" s="11" t="n"/>
      <c r="B15" s="12" t="n"/>
      <c r="C15" s="12" t="n"/>
      <c r="D15" s="12" t="n"/>
      <c r="E15" s="12" t="n"/>
      <c r="F15" s="129" t="n"/>
      <c r="G15" s="129" t="n"/>
      <c r="H15" s="12" t="n"/>
      <c r="I15" s="130" t="n"/>
      <c r="J15" s="131" t="n"/>
      <c r="K15" s="130" t="n"/>
      <c r="L15" s="131" t="n"/>
      <c r="M15" s="130" t="n"/>
      <c r="N15" s="130" t="n"/>
      <c r="O15" s="131" t="n"/>
      <c r="P15" s="132" t="n"/>
      <c r="Q15" s="131" t="n"/>
      <c r="R15" s="133"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row>
    <row r="16" ht="30" customFormat="1" customHeight="1" s="17">
      <c r="A16" s="11" t="n"/>
      <c r="B16" s="24" t="inlineStr">
        <is>
          <t>P2</t>
        </is>
      </c>
      <c r="C16" s="24" t="inlineStr">
        <is>
          <t>EQUIPAMIENTO, INFRAESTRUCTURA CLOUD Y CONTINGENCIA</t>
        </is>
      </c>
      <c r="D16" s="25" t="n"/>
      <c r="E16" s="25" t="n"/>
      <c r="F16" s="95" t="n"/>
      <c r="G16" s="95" t="n"/>
      <c r="H16" s="25" t="n"/>
      <c r="I16" s="55" t="n"/>
      <c r="J16" s="47" t="n"/>
      <c r="K16" s="59" t="n"/>
      <c r="L16" s="45" t="n"/>
      <c r="M16" s="24" t="n"/>
      <c r="N16" s="41" t="n"/>
      <c r="O16" s="62" t="n"/>
      <c r="P16" s="45" t="n"/>
      <c r="Q16" s="50" t="n"/>
      <c r="R16" s="47"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row>
    <row r="17" ht="30" customFormat="1" customHeight="1" s="17">
      <c r="A17" s="11" t="n"/>
      <c r="B17" s="34" t="inlineStr">
        <is>
          <t>1</t>
        </is>
      </c>
      <c r="C17" s="35" t="inlineStr">
        <is>
          <t>Terminal Táctil Mostrador POS</t>
        </is>
      </c>
      <c r="D17" s="35" t="inlineStr">
        <is>
          <t>Tablet Android 10.5" con soporte metálico de mostrador</t>
        </is>
      </c>
      <c r="E17" s="35" t="inlineStr">
        <is>
          <t>Purchased</t>
        </is>
      </c>
      <c r="F17" s="96" t="inlineStr">
        <is>
          <t>2026-08-31</t>
        </is>
      </c>
      <c r="G17" s="96" t="inlineStr">
        <is>
          <t>2026-08-31</t>
        </is>
      </c>
      <c r="H17" s="35" t="inlineStr">
        <is>
          <t>2026-09-07</t>
        </is>
      </c>
      <c r="I17" s="97" t="n"/>
      <c r="J17" s="98" t="n"/>
      <c r="K17" s="99" t="n">
        <v>1</v>
      </c>
      <c r="L17" s="100" t="n">
        <v>6500</v>
      </c>
      <c r="M17" s="101" t="n"/>
      <c r="N17" s="102" t="n"/>
      <c r="O17" s="103" t="n"/>
      <c r="P17" s="104" t="n">
        <v>6500</v>
      </c>
      <c r="Q17" s="105">
        <f>(I17*J17)+(K17*L17)+M17+N17+O17</f>
        <v/>
      </c>
      <c r="R17" s="106">
        <f>Q17-P17</f>
        <v/>
      </c>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row>
    <row r="18" ht="30" customFormat="1" customHeight="1" s="17">
      <c r="A18" s="11" t="n"/>
      <c r="B18" s="34" t="inlineStr">
        <is>
          <t>2</t>
        </is>
      </c>
      <c r="C18" s="35" t="inlineStr">
        <is>
          <t>Impresora Térmica de Tickets</t>
        </is>
      </c>
      <c r="D18" s="35" t="inlineStr">
        <is>
          <t>Impresora 80mm USB/Red para tickets de papel reciclado</t>
        </is>
      </c>
      <c r="E18" s="35" t="inlineStr">
        <is>
          <t>Purchased</t>
        </is>
      </c>
      <c r="F18" s="96" t="inlineStr">
        <is>
          <t>2026-08-31</t>
        </is>
      </c>
      <c r="G18" s="96" t="inlineStr">
        <is>
          <t>2026-08-31</t>
        </is>
      </c>
      <c r="H18" s="35" t="inlineStr">
        <is>
          <t>2026-09-07</t>
        </is>
      </c>
      <c r="I18" s="97" t="n"/>
      <c r="J18" s="98" t="n"/>
      <c r="K18" s="99" t="n">
        <v>1</v>
      </c>
      <c r="L18" s="100" t="n">
        <v>1800</v>
      </c>
      <c r="M18" s="101" t="n"/>
      <c r="N18" s="102" t="n"/>
      <c r="O18" s="103" t="n"/>
      <c r="P18" s="104" t="n">
        <v>1800</v>
      </c>
      <c r="Q18" s="105">
        <f>(I18*J18)+(K18*L18)+M18+N18+O18</f>
        <v/>
      </c>
      <c r="R18" s="106">
        <f>Q18-P18</f>
        <v/>
      </c>
      <c r="S18" s="11"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row>
    <row r="19" ht="30" customFormat="1" customHeight="1" s="17">
      <c r="A19" s="11" t="n"/>
      <c r="B19" s="34" t="inlineStr">
        <is>
          <t>3</t>
        </is>
      </c>
      <c r="C19" s="35" t="inlineStr">
        <is>
          <t>Lector de Código de Barras / QR</t>
        </is>
      </c>
      <c r="D19" s="35" t="inlineStr">
        <is>
          <t>Scanner 1D/2D USB para inventario y sellos de lealtad</t>
        </is>
      </c>
      <c r="E19" s="35" t="inlineStr">
        <is>
          <t>Purchased</t>
        </is>
      </c>
      <c r="F19" s="96" t="inlineStr">
        <is>
          <t>2026-08-31</t>
        </is>
      </c>
      <c r="G19" s="96" t="inlineStr">
        <is>
          <t>2026-08-31</t>
        </is>
      </c>
      <c r="H19" s="35" t="inlineStr">
        <is>
          <t>2026-09-07</t>
        </is>
      </c>
      <c r="I19" s="97" t="n"/>
      <c r="J19" s="98" t="n"/>
      <c r="K19" s="99" t="n">
        <v>1</v>
      </c>
      <c r="L19" s="100" t="n">
        <v>1200</v>
      </c>
      <c r="M19" s="101" t="n"/>
      <c r="N19" s="102" t="n"/>
      <c r="O19" s="103" t="n"/>
      <c r="P19" s="104" t="n">
        <v>1200</v>
      </c>
      <c r="Q19" s="105">
        <f>(I19*J19)+(K19*L19)+M19+N19+O19</f>
        <v/>
      </c>
      <c r="R19" s="106">
        <f>Q19-P19</f>
        <v/>
      </c>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row>
    <row r="20" ht="30" customFormat="1" customHeight="1" s="17">
      <c r="A20" s="11" t="n"/>
      <c r="B20" s="34" t="inlineStr">
        <is>
          <t>4</t>
        </is>
      </c>
      <c r="C20" s="35" t="inlineStr">
        <is>
          <t>Google Cloud Platform (GCP)</t>
        </is>
      </c>
      <c r="D20" s="38" t="inlineStr">
        <is>
          <t>Cloud Run, Cloud SQL PostgreSQL y Memorystore Redis (4 meses)</t>
        </is>
      </c>
      <c r="E20" s="38" t="inlineStr">
        <is>
          <t>Active</t>
        </is>
      </c>
      <c r="F20" s="107" t="inlineStr">
        <is>
          <t>2026-08-31</t>
        </is>
      </c>
      <c r="G20" s="107" t="inlineStr">
        <is>
          <t>2026-08-31</t>
        </is>
      </c>
      <c r="H20" s="38" t="inlineStr">
        <is>
          <t>2026-12-21</t>
        </is>
      </c>
      <c r="I20" s="97" t="n"/>
      <c r="J20" s="98" t="n"/>
      <c r="K20" s="99" t="n"/>
      <c r="L20" s="100" t="n"/>
      <c r="M20" s="101" t="n"/>
      <c r="N20" s="102" t="n">
        <v>7200</v>
      </c>
      <c r="O20" s="103" t="n"/>
      <c r="P20" s="104" t="n">
        <v>7200</v>
      </c>
      <c r="Q20" s="105">
        <f>(I20*J20)+(K20*L20)+M20+N20+O20</f>
        <v/>
      </c>
      <c r="R20" s="106">
        <f>Q20-P20</f>
        <v/>
      </c>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row>
    <row r="21" ht="30" customFormat="1" customHeight="1" s="17">
      <c r="A21" s="11" t="n"/>
      <c r="B21" s="34" t="inlineStr">
        <is>
          <t>5</t>
        </is>
      </c>
      <c r="C21" s="35" t="inlineStr">
        <is>
          <t>CloudAMQP (RabbitMQ Administrado)</t>
        </is>
      </c>
      <c r="D21" s="38" t="inlineStr">
        <is>
          <t>Broker de colas para Patrón Saga con retardo y DLQ (4 meses)</t>
        </is>
      </c>
      <c r="E21" s="38" t="inlineStr">
        <is>
          <t>Active</t>
        </is>
      </c>
      <c r="F21" s="107" t="inlineStr">
        <is>
          <t>2026-08-31</t>
        </is>
      </c>
      <c r="G21" s="107" t="inlineStr">
        <is>
          <t>2026-08-31</t>
        </is>
      </c>
      <c r="H21" s="38" t="inlineStr">
        <is>
          <t>2026-12-21</t>
        </is>
      </c>
      <c r="I21" s="97" t="n"/>
      <c r="J21" s="98" t="n"/>
      <c r="K21" s="99" t="n"/>
      <c r="L21" s="100" t="n"/>
      <c r="M21" s="101" t="n"/>
      <c r="N21" s="102" t="n">
        <v>2200</v>
      </c>
      <c r="O21" s="103" t="n"/>
      <c r="P21" s="104" t="n">
        <v>2200</v>
      </c>
      <c r="Q21" s="105">
        <f>(I21*J21)+(K21*L21)+M21+N21+O21</f>
        <v/>
      </c>
      <c r="R21" s="106">
        <f>Q21-P21</f>
        <v/>
      </c>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row>
    <row r="22" ht="30" customFormat="1" customHeight="1" s="17">
      <c r="A22" s="11" t="n"/>
      <c r="B22" s="34" t="inlineStr">
        <is>
          <t>6</t>
        </is>
      </c>
      <c r="C22" s="35" t="inlineStr">
        <is>
          <t>Dominio Web y Certificados SSL</t>
        </is>
      </c>
      <c r="D22" s="38" t="inlineStr">
        <is>
          <t>Registro de dominio oficial y certificados TLS 1.3 (1 año)</t>
        </is>
      </c>
      <c r="E22" s="38" t="inlineStr">
        <is>
          <t>Active</t>
        </is>
      </c>
      <c r="F22" s="107" t="inlineStr">
        <is>
          <t>2026-08-31</t>
        </is>
      </c>
      <c r="G22" s="107" t="inlineStr">
        <is>
          <t>2026-08-31</t>
        </is>
      </c>
      <c r="H22" s="38" t="inlineStr">
        <is>
          <t>2026-12-21</t>
        </is>
      </c>
      <c r="I22" s="97" t="n"/>
      <c r="J22" s="98" t="n"/>
      <c r="K22" s="99" t="n"/>
      <c r="L22" s="100" t="n"/>
      <c r="M22" s="101" t="n"/>
      <c r="N22" s="102" t="n"/>
      <c r="O22" s="103" t="n">
        <v>950</v>
      </c>
      <c r="P22" s="104" t="n">
        <v>950</v>
      </c>
      <c r="Q22" s="105">
        <f>(I22*J22)+(K22*L22)+M22+N22+O22</f>
        <v/>
      </c>
      <c r="R22" s="106">
        <f>Q22-P22</f>
        <v/>
      </c>
      <c r="S22" s="11"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row>
    <row r="23" ht="30" customFormat="1" customHeight="1" s="17">
      <c r="A23" s="11" t="n"/>
      <c r="B23" s="34" t="inlineStr">
        <is>
          <t>7</t>
        </is>
      </c>
      <c r="C23" s="35" t="inlineStr">
        <is>
          <t>Licencias Repositorio y DevOps</t>
        </is>
      </c>
      <c r="D23" s="38" t="inlineStr">
        <is>
          <t>GitHub Team y licencias de herramientas colaborativas (4 meses)</t>
        </is>
      </c>
      <c r="E23" s="38" t="inlineStr">
        <is>
          <t>Active</t>
        </is>
      </c>
      <c r="F23" s="107" t="inlineStr">
        <is>
          <t>2026-08-31</t>
        </is>
      </c>
      <c r="G23" s="107" t="inlineStr">
        <is>
          <t>2026-08-31</t>
        </is>
      </c>
      <c r="H23" s="38" t="inlineStr">
        <is>
          <t>2026-12-21</t>
        </is>
      </c>
      <c r="I23" s="97" t="n"/>
      <c r="J23" s="98" t="n"/>
      <c r="K23" s="99" t="n"/>
      <c r="L23" s="100" t="n"/>
      <c r="M23" s="101" t="n"/>
      <c r="N23" s="102" t="n"/>
      <c r="O23" s="103" t="n">
        <v>2400</v>
      </c>
      <c r="P23" s="104" t="n">
        <v>2400</v>
      </c>
      <c r="Q23" s="105">
        <f>(I23*J23)+(K23*L23)+M23+N23+O23</f>
        <v/>
      </c>
      <c r="R23" s="106">
        <f>Q23-P23</f>
        <v/>
      </c>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row>
    <row r="24" ht="30" customFormat="1" customHeight="1" s="17">
      <c r="A24" s="11" t="n"/>
      <c r="B24" s="34" t="inlineStr">
        <is>
          <t>8</t>
        </is>
      </c>
      <c r="C24" s="35" t="inlineStr">
        <is>
          <t>Fondo de Contingencia y Riesgos</t>
        </is>
      </c>
      <c r="D24" s="38" t="inlineStr">
        <is>
          <t>Reserva del 10% para imprevistos técnicos y picos de tráfico</t>
        </is>
      </c>
      <c r="E24" s="38" t="inlineStr">
        <is>
          <t>Allocated</t>
        </is>
      </c>
      <c r="F24" s="107" t="inlineStr">
        <is>
          <t>2026-08-31</t>
        </is>
      </c>
      <c r="G24" s="107" t="inlineStr">
        <is>
          <t>2026-08-31</t>
        </is>
      </c>
      <c r="H24" s="38" t="inlineStr">
        <is>
          <t>2026-12-21</t>
        </is>
      </c>
      <c r="I24" s="97" t="n"/>
      <c r="J24" s="98" t="n"/>
      <c r="K24" s="99" t="n"/>
      <c r="L24" s="100" t="n"/>
      <c r="M24" s="101" t="n"/>
      <c r="N24" s="102" t="n"/>
      <c r="O24" s="103" t="n">
        <v>38025</v>
      </c>
      <c r="P24" s="104" t="n">
        <v>38025</v>
      </c>
      <c r="Q24" s="105">
        <f>(I24*J24)+(K24*L24)+M24+N24+O24</f>
        <v/>
      </c>
      <c r="R24" s="106">
        <f>Q24-P24</f>
        <v/>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row>
    <row r="25" ht="30" customFormat="1" customHeight="1" s="17" thickBot="1">
      <c r="A25" s="11" t="n"/>
      <c r="B25" s="64" t="inlineStr">
        <is>
          <t>9</t>
        </is>
      </c>
      <c r="C25" s="65" t="inlineStr">
        <is>
          <t>Capacitación Operativa en Barra</t>
        </is>
      </c>
      <c r="D25" s="65" t="inlineStr">
        <is>
          <t>Manuales y entrenamiento al personal barista en POS táctil</t>
        </is>
      </c>
      <c r="E25" s="65" t="inlineStr">
        <is>
          <t>Planned</t>
        </is>
      </c>
      <c r="F25" s="108" t="inlineStr">
        <is>
          <t>2026-12-14</t>
        </is>
      </c>
      <c r="G25" s="108" t="inlineStr">
        <is>
          <t>2026-12-14</t>
        </is>
      </c>
      <c r="H25" s="65" t="inlineStr">
        <is>
          <t>2026-12-21</t>
        </is>
      </c>
      <c r="I25" s="109" t="n"/>
      <c r="J25" s="110" t="n"/>
      <c r="K25" s="111" t="n"/>
      <c r="L25" s="112" t="n"/>
      <c r="M25" s="113" t="n"/>
      <c r="N25" s="114" t="n"/>
      <c r="O25" s="115" t="n"/>
      <c r="P25" s="116" t="n">
        <v>0</v>
      </c>
      <c r="Q25" s="117">
        <f>(I25*J25)+(K25*L25)+M25+N25+O25</f>
        <v/>
      </c>
      <c r="R25" s="118">
        <f>Q25-P25</f>
        <v/>
      </c>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row>
    <row r="26" ht="30" customFormat="1" customHeight="1" s="17" thickBot="1" thickTop="1">
      <c r="A26" s="11" t="n"/>
      <c r="B26" s="11" t="n"/>
      <c r="C26" s="11" t="n"/>
      <c r="D26" s="11" t="n"/>
      <c r="E26" s="11" t="n"/>
      <c r="F26" s="11" t="n"/>
      <c r="G26" s="11" t="n"/>
      <c r="H26" s="39" t="inlineStr">
        <is>
          <t>SUBTOTAL</t>
        </is>
      </c>
      <c r="I26" s="120" t="n"/>
      <c r="J26" s="121">
        <f>(I17*J17)+(I18*J18)+(I19*J19)+(I20*J20)+(I21*J21)+(I22*J22)+(I23*J23)+(I24*J24)+(I25*J25)</f>
        <v/>
      </c>
      <c r="K26" s="122" t="n"/>
      <c r="L26" s="123">
        <f>(K17*L17)+(K18*L18)+(K19*L19)+(K20*L20)+(K21*L21)+(K22*L22)+(K23*L23)+(K24*L24)+(K25*L25)</f>
        <v/>
      </c>
      <c r="M26" s="124">
        <f>SUM(M17:M25)</f>
        <v/>
      </c>
      <c r="N26" s="125">
        <f>SUM(N17:N25)</f>
        <v/>
      </c>
      <c r="O26" s="126">
        <f>SUM(O17:O25)</f>
        <v/>
      </c>
      <c r="P26" s="127">
        <f>SUM(P17:P25)</f>
        <v/>
      </c>
      <c r="Q26" s="128">
        <f>SUM(J26:O26)</f>
        <v/>
      </c>
      <c r="R26" s="121">
        <f>Q26-P26</f>
        <v/>
      </c>
      <c r="S26" s="11"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row>
    <row r="27" ht="9.949999999999999" customFormat="1" customHeight="1" s="4">
      <c r="B27" s="6" t="n"/>
      <c r="C27" s="6" t="n"/>
      <c r="D27" s="6" t="n"/>
      <c r="E27" s="6" t="n"/>
      <c r="F27" s="6" t="n"/>
      <c r="G27" s="6" t="n"/>
      <c r="H27" s="6" t="n"/>
      <c r="I27" s="134" t="n"/>
      <c r="J27" s="135" t="n"/>
      <c r="K27" s="134" t="n"/>
      <c r="L27" s="135" t="n"/>
      <c r="M27" s="134" t="n"/>
      <c r="N27" s="134" t="n"/>
      <c r="O27" s="135" t="n"/>
      <c r="P27" s="136" t="n"/>
      <c r="Q27" s="135" t="n"/>
      <c r="R27" s="137" t="n"/>
    </row>
    <row r="28" ht="50.1" customHeight="1">
      <c r="B28" s="138" t="inlineStr">
        <is>
          <t>TOTAL</t>
        </is>
      </c>
      <c r="C28" s="138" t="inlineStr">
        <is>
          <t>PRESUPUESTO TOTAL INTEGRAL MONCHIS CAFÉ (P1 + P2)</t>
        </is>
      </c>
      <c r="D28" s="138" t="n"/>
      <c r="E28" s="138" t="n"/>
      <c r="F28" s="138" t="n"/>
      <c r="G28" s="138" t="n"/>
      <c r="H28" s="138" t="inlineStr">
        <is>
          <t>GRAN TOTAL</t>
        </is>
      </c>
      <c r="I28" s="138" t="n"/>
      <c r="J28" s="138" t="n"/>
      <c r="K28" s="138" t="n"/>
      <c r="L28" s="138" t="n"/>
      <c r="M28" s="138" t="n"/>
      <c r="N28" s="138" t="n"/>
      <c r="O28" s="138" t="n"/>
      <c r="P28" s="139">
        <f>P14+P26</f>
        <v/>
      </c>
      <c r="Q28" s="139">
        <f>Q14+Q26</f>
        <v/>
      </c>
      <c r="R28" s="139">
        <f>R14+R26</f>
        <v/>
      </c>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row>
    <row r="426">
      <c r="A426" s="4" t="n"/>
      <c r="S426" s="4" t="n"/>
      <c r="T426" s="4" t="n"/>
      <c r="U426" s="4" t="n"/>
    </row>
  </sheetData>
  <mergeCells count="2">
    <mergeCell ref="I2:J2"/>
    <mergeCell ref="K2:N2"/>
  </mergeCells>
  <conditionalFormatting sqref="R14 R26">
    <cfRule type="cellIs" priority="1" operator="greaterThan" dxfId="1">
      <formula>0</formula>
    </cfRule>
    <cfRule type="cellIs" priority="2" operator="lessThan" dxfId="0">
      <formula>0</formula>
    </cfRule>
  </conditionalFormatting>
  <pageMargins left="0.3" right="0.3" top="0.3" bottom="0.3" header="0" footer="0"/>
  <pageSetup orientation="landscape" scale="44" fitToHeight="0" horizontalDpi="4294967292" verticalDpi="4294967292"/>
</worksheet>
</file>

<file path=xl/worksheets/sheet2.xml><?xml version="1.0" encoding="utf-8"?>
<worksheet xmlns="http://schemas.openxmlformats.org/spreadsheetml/2006/main">
  <sheetPr>
    <tabColor theme="1" tint="0.3499862666707358"/>
    <outlinePr summaryBelow="1" summaryRight="1"/>
    <pageSetUpPr/>
  </sheetPr>
  <dimension ref="B2:B2"/>
  <sheetViews>
    <sheetView showGridLines="0" workbookViewId="0">
      <selection activeCell="AQ83" sqref="AQ83"/>
    </sheetView>
  </sheetViews>
  <sheetFormatPr baseColWidth="10" defaultColWidth="10.875" defaultRowHeight="15"/>
  <cols>
    <col width="3.375" customWidth="1" style="22" min="1" max="1"/>
    <col width="88.375" customWidth="1" style="22" min="2" max="2"/>
    <col width="10.875" customWidth="1" style="22" min="3" max="16384"/>
  </cols>
  <sheetData>
    <row r="2" ht="105" customHeight="1">
      <c r="B2" s="21" t="inlineStr">
        <is>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is>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ragaz</dc:creator>
  <dcterms:created xmlns:dcterms="http://purl.org/dc/terms/" xmlns:xsi="http://www.w3.org/2001/XMLSchema-instance" xsi:type="dcterms:W3CDTF">2015-08-28T20:34:30Z</dcterms:created>
  <dcterms:modified xmlns:dcterms="http://purl.org/dc/terms/" xmlns:xsi="http://www.w3.org/2001/XMLSchema-instance" xsi:type="dcterms:W3CDTF">2026-09-06T23:51:03Z</dcterms:modified>
  <cp:lastModifiedBy>Usuario</cp:lastModifiedBy>
</cp:coreProperties>
</file>