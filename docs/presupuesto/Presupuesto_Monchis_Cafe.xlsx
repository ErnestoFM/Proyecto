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ject Budget Proposal" sheetId="1" r:id="rId1"/>
  </sheets>
  <calcPr calcId="124519" fullCalcOnLoad="1"/>
</workbook>
</file>

<file path=xl/sharedStrings.xml><?xml version="1.0" encoding="utf-8"?>
<sst xmlns="http://schemas.openxmlformats.org/spreadsheetml/2006/main" count="101" uniqueCount="87">
  <si>
    <t>MONCHIS CAFÉ — PROPUESTA DE PRESUPUESTO DE PROYECTO</t>
  </si>
  <si>
    <t>Plataforma Web Segura para Cafetería Orgánica y Comercial (Alineada a ODS)</t>
  </si>
  <si>
    <t>PROYECTO:</t>
  </si>
  <si>
    <t>Monchis Café POS &amp; Sostenibilidad</t>
  </si>
  <si>
    <t>LÍDER / RESPONSABLE:</t>
  </si>
  <si>
    <t>Ernesto Fierro</t>
  </si>
  <si>
    <t>DURACIÓN:</t>
  </si>
  <si>
    <t>16 Semanas (4 Meses)</t>
  </si>
  <si>
    <t>MATERIA:</t>
  </si>
  <si>
    <t>Administración de Proyectos</t>
  </si>
  <si>
    <t>DOCENTE:</t>
  </si>
  <si>
    <t>Dr. Gabriel Navarro Salcedo</t>
  </si>
  <si>
    <t>MONEDA:</t>
  </si>
  <si>
    <t>MXN (Pesos Mexicanos)</t>
  </si>
  <si>
    <t>WBS</t>
  </si>
  <si>
    <t>CATEGORÍA / TAREA</t>
  </si>
  <si>
    <t>DESCRIPCIÓN Y ESPECIFICACIÓN</t>
  </si>
  <si>
    <t>DEDICACIÓN / CANTIDAD</t>
  </si>
  <si>
    <t>UNIDAD</t>
  </si>
  <si>
    <t>COSTO UNITARIO ($)</t>
  </si>
  <si>
    <t>COSTO TOTAL ($)</t>
  </si>
  <si>
    <t>ALINEACIÓN ODS</t>
  </si>
  <si>
    <t>1.0 RECURSOS HUMANOS Y DESARROLLO (LABOR)</t>
  </si>
  <si>
    <t>1.1</t>
  </si>
  <si>
    <t>Líder de Proyecto / Scrum Master</t>
  </si>
  <si>
    <t>Gestión de sprints, riesgos, calidad y alineación ODS</t>
  </si>
  <si>
    <t>Horas</t>
  </si>
  <si>
    <t>ODS 8</t>
  </si>
  <si>
    <t>1.2</t>
  </si>
  <si>
    <t>Arquitecto de Software &amp; DevOps</t>
  </si>
  <si>
    <t>Arquitectura monorepo, Docker, CI/CD y RabbitMQ</t>
  </si>
  <si>
    <t>ODS 9</t>
  </si>
  <si>
    <t>1.3</t>
  </si>
  <si>
    <t>Desarrollador Full-Stack Backend</t>
  </si>
  <si>
    <t>API Next.js, Prisma ORM, Patrón Saga y autenticación stateless</t>
  </si>
  <si>
    <t>ODS 12</t>
  </si>
  <si>
    <t>1.4</t>
  </si>
  <si>
    <t>Desarrollador Full-Stack Frontend</t>
  </si>
  <si>
    <t>Interfaz táctil POS Vue 3, Pinia, SEO vite-ssg y accesibilidad</t>
  </si>
  <si>
    <t>1.5</t>
  </si>
  <si>
    <t>Especialista en QA &amp; Ciberseguridad</t>
  </si>
  <si>
    <t>Pruebas Vitest, Playwright, escaneo OWASP y a11y</t>
  </si>
  <si>
    <t>ODS 16</t>
  </si>
  <si>
    <t>SUBTOTAL RECURSOS HUMANOS (1.0)</t>
  </si>
  <si>
    <t>2.0 RECURSOS MATERIALES Y EQUIPAMIENTO (MATERIALS &amp; HARDWARE)</t>
  </si>
  <si>
    <t>2.1</t>
  </si>
  <si>
    <t>Terminal Táctil Mostrador POS</t>
  </si>
  <si>
    <t>Tablet táctil 10.5" con soporte metálico de mostrador</t>
  </si>
  <si>
    <t>Pieza</t>
  </si>
  <si>
    <t>ODS 8, 9</t>
  </si>
  <si>
    <t>2.2</t>
  </si>
  <si>
    <t>Impresora Térmica de Tickets</t>
  </si>
  <si>
    <t>Impresora 80mm USB/Red para tickets ecológicos</t>
  </si>
  <si>
    <t>2.3</t>
  </si>
  <si>
    <t>Lector de Código de Barras / QR</t>
  </si>
  <si>
    <t>Scanner 1D/2D USB de alta precisión para inventario y sellos</t>
  </si>
  <si>
    <t>SUBTOTAL MATERIALES Y EQUIPO (2.0)</t>
  </si>
  <si>
    <t>3.0 INFRAESTRUCTURA CLOUD Y LICENCIAS DE SOFTWARE (FIXED &amp; CLOUD)</t>
  </si>
  <si>
    <t>3.1</t>
  </si>
  <si>
    <t>Google Cloud Platform (GCP)</t>
  </si>
  <si>
    <t>Cloud Run, Cloud SQL PostgreSQL, Cloud Memorystore (4 meses)</t>
  </si>
  <si>
    <t>Meses</t>
  </si>
  <si>
    <t>3.2</t>
  </si>
  <si>
    <t>CloudAMQP (RabbitMQ Administrado)</t>
  </si>
  <si>
    <t>Broker de mensajería con soporte DLQ y SLA (4 meses)</t>
  </si>
  <si>
    <t>ODS 9, 16</t>
  </si>
  <si>
    <t>3.3</t>
  </si>
  <si>
    <t>Dominio Web y Certificados SSL</t>
  </si>
  <si>
    <t>Registro de dominio oficial y certificado Wildcard TLS 1.3</t>
  </si>
  <si>
    <t>Anual</t>
  </si>
  <si>
    <t>3.4</t>
  </si>
  <si>
    <t>Herramientas de Trabajo y DevOps</t>
  </si>
  <si>
    <t>GitHub Team y herramientas colaborativas de desarrollo (4 meses)</t>
  </si>
  <si>
    <t>SUBTOTAL INFRAESTRUCTURA Y SERVICIOS (3.0)</t>
  </si>
  <si>
    <t>4.0 CONTINGENCIA OPERATIVA Y RIESGOS (CONTINGENCY &amp; MISC)</t>
  </si>
  <si>
    <t>4.1</t>
  </si>
  <si>
    <t>Fondo de Contingencia para Riesgos (10%)</t>
  </si>
  <si>
    <t>Reserva para imprevistos técnicos, fluctuación cambiaria y picos de tráfico</t>
  </si>
  <si>
    <t>% Directo</t>
  </si>
  <si>
    <t>General</t>
  </si>
  <si>
    <t>SUBTOTAL CONTINGENCIA (4.0)</t>
  </si>
  <si>
    <t>PRESUPUESTO TOTAL INTEGRAL DEL PROYECTO (MXN):</t>
  </si>
  <si>
    <t>100% ODS</t>
  </si>
  <si>
    <t>Notas de Aprobación:</t>
  </si>
  <si>
    <t>1. El presupuesto fue calculado para un horizonte de 16 semanas bajo metodología ágil Scrum.</t>
  </si>
  <si>
    <t>2. Los costos de personal reflejan las tarifas del mercado local para desarrollo web y QA.</t>
  </si>
  <si>
    <t>3. Toda la infraestructura en la nube está dimensionada para eficiencia energética y bajo consumo.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</si>
</sst>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$#,##0.00"/>
  </numFmts>
  <fonts count="8">
    <font>
      <sz val="11"/>
      <color theme="1"/>
      <name val="Calibri"/>
      <family val="2"/>
      <scheme val="minor"/>
    </font>
    <font>
      <b/>
      <sz val="16"/>
      <color rgb="FF1B365D"/>
      <name val="Calibri"/>
      <family val="2"/>
      <scheme val="minor"/>
    </font>
    <font>
      <i/>
      <sz val="11"/>
      <color rgb="FF555555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B365D"/>
      <name val="Calibri"/>
      <family val="2"/>
      <scheme val="minor"/>
    </font>
    <font>
      <b/>
      <sz val="12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0F4F8"/>
        <bgColor indexed="64"/>
      </patternFill>
    </fill>
    <fill>
      <patternFill patternType="solid">
        <fgColor rgb="FF1B365D"/>
        <bgColor indexed="64"/>
      </patternFill>
    </fill>
    <fill>
      <patternFill patternType="solid">
        <fgColor rgb="FFD9E2EC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1B365D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3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4" fillId="0" borderId="2" xfId="0" applyFont="1" applyBorder="1"/>
    <xf numFmtId="164" fontId="4" fillId="0" borderId="2" xfId="0" applyNumberFormat="1" applyFont="1" applyBorder="1" applyAlignment="1">
      <alignment horizontal="right"/>
    </xf>
    <xf numFmtId="165" fontId="4" fillId="0" borderId="2" xfId="0" applyNumberFormat="1" applyFont="1" applyBorder="1" applyAlignment="1">
      <alignment horizontal="right"/>
    </xf>
    <xf numFmtId="165" fontId="3" fillId="2" borderId="2" xfId="0" applyNumberFormat="1" applyFont="1" applyFill="1" applyBorder="1" applyAlignment="1">
      <alignment horizontal="right"/>
    </xf>
    <xf numFmtId="0" fontId="7" fillId="3" borderId="3" xfId="0" applyFont="1" applyFill="1" applyBorder="1" applyAlignment="1">
      <alignment horizontal="left"/>
    </xf>
    <xf numFmtId="165" fontId="7" fillId="3" borderId="3" xfId="0" applyNumberFormat="1" applyFont="1" applyFill="1" applyBorder="1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38"/>
  <sheetViews>
    <sheetView tabSelected="1" workbookViewId="0"/>
  </sheetViews>
  <sheetFormatPr defaultRowHeight="15"/>
  <cols>
    <col min="1" max="1" width="8.7109375" customWidth="1"/>
    <col min="2" max="2" width="32.7109375" customWidth="1"/>
    <col min="3" max="3" width="45.7109375" customWidth="1"/>
    <col min="4" max="4" width="22.7109375" customWidth="1"/>
    <col min="5" max="5" width="12.7109375" customWidth="1"/>
    <col min="6" max="8" width="18.7109375" customWidth="1"/>
  </cols>
  <sheetData>
    <row r="1" spans="1:8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2" t="s">
        <v>1</v>
      </c>
    </row>
    <row r="4" spans="1:8">
      <c r="A4" s="3" t="s">
        <v>2</v>
      </c>
      <c r="B4" s="4" t="s">
        <v>3</v>
      </c>
      <c r="D4" s="3" t="s">
        <v>4</v>
      </c>
      <c r="E4" s="4" t="s">
        <v>5</v>
      </c>
      <c r="G4" s="3" t="s">
        <v>6</v>
      </c>
      <c r="H4" s="4" t="s">
        <v>7</v>
      </c>
    </row>
    <row r="5" spans="1:8">
      <c r="A5" s="3" t="s">
        <v>8</v>
      </c>
      <c r="B5" s="4" t="s">
        <v>9</v>
      </c>
      <c r="D5" s="3" t="s">
        <v>10</v>
      </c>
      <c r="E5" s="4" t="s">
        <v>11</v>
      </c>
      <c r="G5" s="3" t="s">
        <v>12</v>
      </c>
      <c r="H5" s="4" t="s">
        <v>13</v>
      </c>
    </row>
    <row r="7" spans="1:8">
      <c r="A7" s="5" t="s">
        <v>14</v>
      </c>
      <c r="B7" s="5" t="s">
        <v>15</v>
      </c>
      <c r="C7" s="5" t="s">
        <v>16</v>
      </c>
      <c r="D7" s="5" t="s">
        <v>17</v>
      </c>
      <c r="E7" s="5" t="s">
        <v>18</v>
      </c>
      <c r="F7" s="5" t="s">
        <v>19</v>
      </c>
      <c r="G7" s="5" t="s">
        <v>20</v>
      </c>
      <c r="H7" s="5" t="s">
        <v>21</v>
      </c>
    </row>
    <row r="8" spans="1:8">
      <c r="A8" s="6" t="s">
        <v>22</v>
      </c>
      <c r="B8" s="6"/>
      <c r="C8" s="6"/>
      <c r="D8" s="6"/>
      <c r="E8" s="6"/>
      <c r="F8" s="6"/>
      <c r="G8" s="6"/>
      <c r="H8" s="6"/>
    </row>
    <row r="9" spans="1:8">
      <c r="A9" s="7" t="s">
        <v>23</v>
      </c>
      <c r="B9" s="8" t="s">
        <v>24</v>
      </c>
      <c r="C9" s="8" t="s">
        <v>25</v>
      </c>
      <c r="D9" s="9">
        <v>320</v>
      </c>
      <c r="E9" s="7" t="s">
        <v>26</v>
      </c>
      <c r="F9" s="10">
        <v>150</v>
      </c>
      <c r="G9" s="10">
        <f>D9*F9</f>
        <v>0</v>
      </c>
      <c r="H9" s="7" t="s">
        <v>27</v>
      </c>
    </row>
    <row r="10" spans="1:8">
      <c r="A10" s="7" t="s">
        <v>28</v>
      </c>
      <c r="B10" s="8" t="s">
        <v>29</v>
      </c>
      <c r="C10" s="8" t="s">
        <v>30</v>
      </c>
      <c r="D10" s="9">
        <v>640</v>
      </c>
      <c r="E10" s="7" t="s">
        <v>26</v>
      </c>
      <c r="F10" s="10">
        <v>150</v>
      </c>
      <c r="G10" s="10">
        <f>D10*F10</f>
        <v>0</v>
      </c>
      <c r="H10" s="7" t="s">
        <v>31</v>
      </c>
    </row>
    <row r="11" spans="1:8">
      <c r="A11" s="7" t="s">
        <v>32</v>
      </c>
      <c r="B11" s="8" t="s">
        <v>33</v>
      </c>
      <c r="C11" s="8" t="s">
        <v>34</v>
      </c>
      <c r="D11" s="9">
        <v>640</v>
      </c>
      <c r="E11" s="7" t="s">
        <v>26</v>
      </c>
      <c r="F11" s="10">
        <v>125</v>
      </c>
      <c r="G11" s="10">
        <f>D11*F11</f>
        <v>0</v>
      </c>
      <c r="H11" s="7" t="s">
        <v>35</v>
      </c>
    </row>
    <row r="12" spans="1:8">
      <c r="A12" s="7" t="s">
        <v>36</v>
      </c>
      <c r="B12" s="8" t="s">
        <v>37</v>
      </c>
      <c r="C12" s="8" t="s">
        <v>38</v>
      </c>
      <c r="D12" s="9">
        <v>640</v>
      </c>
      <c r="E12" s="7" t="s">
        <v>26</v>
      </c>
      <c r="F12" s="10">
        <v>125</v>
      </c>
      <c r="G12" s="10">
        <f>D12*F12</f>
        <v>0</v>
      </c>
      <c r="H12" s="7" t="s">
        <v>35</v>
      </c>
    </row>
    <row r="13" spans="1:8">
      <c r="A13" s="7" t="s">
        <v>39</v>
      </c>
      <c r="B13" s="8" t="s">
        <v>40</v>
      </c>
      <c r="C13" s="8" t="s">
        <v>41</v>
      </c>
      <c r="D13" s="9">
        <v>480</v>
      </c>
      <c r="E13" s="7" t="s">
        <v>26</v>
      </c>
      <c r="F13" s="10">
        <v>112.5</v>
      </c>
      <c r="G13" s="10">
        <f>D13*F13</f>
        <v>0</v>
      </c>
      <c r="H13" s="7" t="s">
        <v>42</v>
      </c>
    </row>
    <row r="14" spans="1:8">
      <c r="A14" s="11" t="s">
        <v>43</v>
      </c>
      <c r="B14" s="11"/>
      <c r="C14" s="11"/>
      <c r="D14" s="11"/>
      <c r="E14" s="11"/>
      <c r="F14" s="11"/>
      <c r="G14" s="11">
        <f>SUM(G9:G13)</f>
        <v>0</v>
      </c>
      <c r="H14" s="11"/>
    </row>
    <row r="16" spans="1:8">
      <c r="A16" s="6" t="s">
        <v>44</v>
      </c>
      <c r="B16" s="6"/>
      <c r="C16" s="6"/>
      <c r="D16" s="6"/>
      <c r="E16" s="6"/>
      <c r="F16" s="6"/>
      <c r="G16" s="6"/>
      <c r="H16" s="6"/>
    </row>
    <row r="17" spans="1:8">
      <c r="A17" s="7" t="s">
        <v>45</v>
      </c>
      <c r="B17" s="8" t="s">
        <v>46</v>
      </c>
      <c r="C17" s="8" t="s">
        <v>47</v>
      </c>
      <c r="D17" s="9">
        <v>1</v>
      </c>
      <c r="E17" s="7" t="s">
        <v>48</v>
      </c>
      <c r="F17" s="10">
        <v>6500</v>
      </c>
      <c r="G17" s="10">
        <f>D17*F17</f>
        <v>0</v>
      </c>
      <c r="H17" s="7" t="s">
        <v>49</v>
      </c>
    </row>
    <row r="18" spans="1:8">
      <c r="A18" s="7" t="s">
        <v>50</v>
      </c>
      <c r="B18" s="8" t="s">
        <v>51</v>
      </c>
      <c r="C18" s="8" t="s">
        <v>52</v>
      </c>
      <c r="D18" s="9">
        <v>1</v>
      </c>
      <c r="E18" s="7" t="s">
        <v>48</v>
      </c>
      <c r="F18" s="10">
        <v>1800</v>
      </c>
      <c r="G18" s="10">
        <f>D18*F18</f>
        <v>0</v>
      </c>
      <c r="H18" s="7" t="s">
        <v>35</v>
      </c>
    </row>
    <row r="19" spans="1:8">
      <c r="A19" s="7" t="s">
        <v>53</v>
      </c>
      <c r="B19" s="8" t="s">
        <v>54</v>
      </c>
      <c r="C19" s="8" t="s">
        <v>55</v>
      </c>
      <c r="D19" s="9">
        <v>1</v>
      </c>
      <c r="E19" s="7" t="s">
        <v>48</v>
      </c>
      <c r="F19" s="10">
        <v>1200</v>
      </c>
      <c r="G19" s="10">
        <f>D19*F19</f>
        <v>0</v>
      </c>
      <c r="H19" s="7" t="s">
        <v>35</v>
      </c>
    </row>
    <row r="20" spans="1:8">
      <c r="A20" s="11" t="s">
        <v>56</v>
      </c>
      <c r="B20" s="11"/>
      <c r="C20" s="11"/>
      <c r="D20" s="11"/>
      <c r="E20" s="11"/>
      <c r="F20" s="11"/>
      <c r="G20" s="11">
        <f>SUM(G17:G19)</f>
        <v>0</v>
      </c>
      <c r="H20" s="11"/>
    </row>
    <row r="22" spans="1:8">
      <c r="A22" s="6" t="s">
        <v>57</v>
      </c>
      <c r="B22" s="6"/>
      <c r="C22" s="6"/>
      <c r="D22" s="6"/>
      <c r="E22" s="6"/>
      <c r="F22" s="6"/>
      <c r="G22" s="6"/>
      <c r="H22" s="6"/>
    </row>
    <row r="23" spans="1:8">
      <c r="A23" s="7" t="s">
        <v>58</v>
      </c>
      <c r="B23" s="8" t="s">
        <v>59</v>
      </c>
      <c r="C23" s="8" t="s">
        <v>60</v>
      </c>
      <c r="D23" s="9">
        <v>4</v>
      </c>
      <c r="E23" s="7" t="s">
        <v>61</v>
      </c>
      <c r="F23" s="10">
        <v>1800</v>
      </c>
      <c r="G23" s="10">
        <f>D23*F23</f>
        <v>0</v>
      </c>
      <c r="H23" s="7" t="s">
        <v>31</v>
      </c>
    </row>
    <row r="24" spans="1:8">
      <c r="A24" s="7" t="s">
        <v>62</v>
      </c>
      <c r="B24" s="8" t="s">
        <v>63</v>
      </c>
      <c r="C24" s="8" t="s">
        <v>64</v>
      </c>
      <c r="D24" s="9">
        <v>4</v>
      </c>
      <c r="E24" s="7" t="s">
        <v>61</v>
      </c>
      <c r="F24" s="10">
        <v>550</v>
      </c>
      <c r="G24" s="10">
        <f>D24*F24</f>
        <v>0</v>
      </c>
      <c r="H24" s="7" t="s">
        <v>65</v>
      </c>
    </row>
    <row r="25" spans="1:8">
      <c r="A25" s="7" t="s">
        <v>66</v>
      </c>
      <c r="B25" s="8" t="s">
        <v>67</v>
      </c>
      <c r="C25" s="8" t="s">
        <v>68</v>
      </c>
      <c r="D25" s="9">
        <v>1</v>
      </c>
      <c r="E25" s="7" t="s">
        <v>69</v>
      </c>
      <c r="F25" s="10">
        <v>950</v>
      </c>
      <c r="G25" s="10">
        <f>D25*F25</f>
        <v>0</v>
      </c>
      <c r="H25" s="7" t="s">
        <v>42</v>
      </c>
    </row>
    <row r="26" spans="1:8">
      <c r="A26" s="7" t="s">
        <v>70</v>
      </c>
      <c r="B26" s="8" t="s">
        <v>71</v>
      </c>
      <c r="C26" s="8" t="s">
        <v>72</v>
      </c>
      <c r="D26" s="9">
        <v>4</v>
      </c>
      <c r="E26" s="7" t="s">
        <v>61</v>
      </c>
      <c r="F26" s="10">
        <v>600</v>
      </c>
      <c r="G26" s="10">
        <f>D26*F26</f>
        <v>0</v>
      </c>
      <c r="H26" s="7" t="s">
        <v>31</v>
      </c>
    </row>
    <row r="27" spans="1:8">
      <c r="A27" s="11" t="s">
        <v>73</v>
      </c>
      <c r="B27" s="11"/>
      <c r="C27" s="11"/>
      <c r="D27" s="11"/>
      <c r="E27" s="11"/>
      <c r="F27" s="11"/>
      <c r="G27" s="11">
        <f>SUM(G23:G26)</f>
        <v>0</v>
      </c>
      <c r="H27" s="11"/>
    </row>
    <row r="29" spans="1:8">
      <c r="A29" s="6" t="s">
        <v>74</v>
      </c>
      <c r="B29" s="6"/>
      <c r="C29" s="6"/>
      <c r="D29" s="6"/>
      <c r="E29" s="6"/>
      <c r="F29" s="6"/>
      <c r="G29" s="6"/>
      <c r="H29" s="6"/>
    </row>
    <row r="30" spans="1:8">
      <c r="A30" s="7" t="s">
        <v>75</v>
      </c>
      <c r="B30" s="8" t="s">
        <v>76</v>
      </c>
      <c r="C30" s="8" t="s">
        <v>77</v>
      </c>
      <c r="D30" s="9">
        <v>10</v>
      </c>
      <c r="E30" s="7" t="s">
        <v>78</v>
      </c>
      <c r="F30" s="9">
        <v>0.1</v>
      </c>
      <c r="G30" s="10">
        <f>(G14+G20+G27)*0.10</f>
        <v>0</v>
      </c>
      <c r="H30" s="7" t="s">
        <v>79</v>
      </c>
    </row>
    <row r="31" spans="1:8">
      <c r="A31" s="11" t="s">
        <v>80</v>
      </c>
      <c r="B31" s="11"/>
      <c r="C31" s="11"/>
      <c r="D31" s="11"/>
      <c r="E31" s="11"/>
      <c r="F31" s="11"/>
      <c r="G31" s="11">
        <f>G30</f>
        <v>0</v>
      </c>
      <c r="H31" s="11"/>
    </row>
    <row r="33" spans="1:8">
      <c r="A33" s="12" t="s">
        <v>81</v>
      </c>
      <c r="B33" s="12"/>
      <c r="C33" s="12"/>
      <c r="D33" s="12"/>
      <c r="E33" s="12"/>
      <c r="F33" s="12"/>
      <c r="G33" s="13">
        <f>G14+G20+G27+G31</f>
        <v>0</v>
      </c>
      <c r="H33" s="13" t="s">
        <v>82</v>
      </c>
    </row>
    <row r="35" spans="1:8">
      <c r="A35" s="14" t="s">
        <v>83</v>
      </c>
    </row>
    <row r="36" spans="1:8">
      <c r="A36" s="2" t="s">
        <v>84</v>
      </c>
    </row>
    <row r="37" spans="1:8">
      <c r="A37" s="2" t="s">
        <v>85</v>
      </c>
    </row>
    <row r="38" spans="1:8">
      <c r="A38" s="2" t="s">
        <v>86</v>
      </c>
    </row>
  </sheetData>
  <mergeCells count="10">
    <mergeCell ref="A1:H1"/>
    <mergeCell ref="A8:H8"/>
    <mergeCell ref="A14:F14"/>
    <mergeCell ref="A16:H16"/>
    <mergeCell ref="A20:F20"/>
    <mergeCell ref="A22:H22"/>
    <mergeCell ref="A27:F27"/>
    <mergeCell ref="A29:H29"/>
    <mergeCell ref="A31:F31"/>
    <mergeCell ref="A33:F3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Budget Proposal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2026-09-06T23:15:58Z</dcterms:created>
  <dcterms:modified xsi:type="dcterms:W3CDTF">2026-09-06T23:15:58Z</dcterms:modified>
</cp:coreProperties>
</file>